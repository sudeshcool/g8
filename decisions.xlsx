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krishnamoorthy/Documents/IBM/2026/BOBIDE/decisionmaking/"/>
    </mc:Choice>
  </mc:AlternateContent>
  <xr:revisionPtr revIDLastSave="0" documentId="8_{F53C1073-F008-A741-80C1-BE71EF46FE92}" xr6:coauthVersionLast="47" xr6:coauthVersionMax="47" xr10:uidLastSave="{00000000-0000-0000-0000-000000000000}"/>
  <bookViews>
    <workbookView xWindow="0" yWindow="660" windowWidth="34560" windowHeight="21680" xr2:uid="{7371DEB5-A3E0-E14D-974C-FB9D0395A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O32" i="1"/>
  <c r="M32" i="1"/>
  <c r="K32" i="1"/>
  <c r="I32" i="1"/>
  <c r="I34" i="1" s="1"/>
  <c r="I36" i="1" s="1"/>
  <c r="O29" i="1"/>
  <c r="M29" i="1"/>
  <c r="K29" i="1"/>
  <c r="I29" i="1"/>
  <c r="O25" i="1"/>
  <c r="M25" i="1"/>
  <c r="K25" i="1"/>
  <c r="I25" i="1"/>
  <c r="O21" i="1"/>
  <c r="M21" i="1"/>
  <c r="K21" i="1"/>
  <c r="I21" i="1"/>
  <c r="O16" i="1"/>
  <c r="M16" i="1"/>
  <c r="K16" i="1"/>
  <c r="I16" i="1"/>
  <c r="O11" i="1"/>
  <c r="M11" i="1"/>
  <c r="K11" i="1"/>
  <c r="I11" i="1"/>
  <c r="O6" i="1"/>
  <c r="M6" i="1"/>
  <c r="K6" i="1"/>
  <c r="I6" i="1"/>
  <c r="O4" i="1"/>
  <c r="O34" i="1" s="1"/>
  <c r="O36" i="1" s="1"/>
  <c r="M4" i="1"/>
  <c r="M34" i="1" s="1"/>
  <c r="M36" i="1" s="1"/>
  <c r="K4" i="1"/>
  <c r="K34" i="1" s="1"/>
  <c r="K36" i="1" s="1"/>
  <c r="I4" i="1"/>
</calcChain>
</file>

<file path=xl/sharedStrings.xml><?xml version="1.0" encoding="utf-8"?>
<sst xmlns="http://schemas.openxmlformats.org/spreadsheetml/2006/main" count="65" uniqueCount="59">
  <si>
    <t>No.</t>
  </si>
  <si>
    <t>EVALUATION CRITERIA</t>
  </si>
  <si>
    <t xml:space="preserve">DESCRIPTION </t>
  </si>
  <si>
    <t>WEIGHTAGE</t>
  </si>
  <si>
    <t xml:space="preserve">CONSIDERATION </t>
  </si>
  <si>
    <t>ALLOCATION OF POINTS</t>
  </si>
  <si>
    <t>Marina Bay Financial Centre 
(22,000 sf)</t>
  </si>
  <si>
    <t>A building
(19,800 sf per floor)</t>
  </si>
  <si>
    <t>B Building
(21,500 sf per floor)</t>
  </si>
  <si>
    <t>C Building
(32,000 sf)</t>
  </si>
  <si>
    <t>Score</t>
  </si>
  <si>
    <t>Sub Total</t>
  </si>
  <si>
    <t>Location</t>
  </si>
  <si>
    <t>Proximity to top 20 Clients</t>
  </si>
  <si>
    <t>Within 5 mins drive to at least 8 Top Clients</t>
  </si>
  <si>
    <t>More than 5 mins drive from at least 8 Top Clients</t>
  </si>
  <si>
    <t xml:space="preserve"> Amenities Within Building</t>
  </si>
  <si>
    <t>E,g End of Trip facilities, wellness rooms, prayer rooms and co-working space</t>
  </si>
  <si>
    <t>End of Trip Facilites</t>
  </si>
  <si>
    <t>Wellness rooms</t>
  </si>
  <si>
    <t>Prayer rooms</t>
  </si>
  <si>
    <t>Meeting rooms/ event spaces</t>
  </si>
  <si>
    <t>Co-working facililities</t>
  </si>
  <si>
    <t xml:space="preserve"> Amenities in the vicinity</t>
  </si>
  <si>
    <t>Eg. F&amp;B outlets, retail outlets, gyms, banks and child care centres within 5 minutes' walk</t>
  </si>
  <si>
    <t>F&amp;B</t>
  </si>
  <si>
    <t>Retail outlets</t>
  </si>
  <si>
    <t>Gym</t>
  </si>
  <si>
    <t>Bank</t>
  </si>
  <si>
    <t>Childcare Centre</t>
  </si>
  <si>
    <t>Accesibility to public transport</t>
  </si>
  <si>
    <t>Transportation takes into account the walking time from the building to the nearest MRT station and whether it is sheltered access.</t>
  </si>
  <si>
    <t xml:space="preserve">Fully Sheltered and within 5 min walk </t>
  </si>
  <si>
    <t>Fully Sheltered more than 5 mins walk</t>
  </si>
  <si>
    <t>Unsheltered within 5 min walk</t>
  </si>
  <si>
    <t xml:space="preserve">Unsheltered more than 5 min walk </t>
  </si>
  <si>
    <t xml:space="preserve">More than 10 mins walk </t>
  </si>
  <si>
    <t>Building Quality</t>
  </si>
  <si>
    <t>Age of Building and Building Grade</t>
  </si>
  <si>
    <t>Grade A , &lt; 5 years old</t>
  </si>
  <si>
    <t>Grade A , 6 to 10 years old</t>
  </si>
  <si>
    <t xml:space="preserve">Grade A , 11 to 15 years old </t>
  </si>
  <si>
    <t>Grade A, &gt;15 years old</t>
  </si>
  <si>
    <t>Floorplate Efficiency</t>
  </si>
  <si>
    <t>Contiguous space with large efficient floor plate. 
IBM's current floor plate range from 22,185 sf to 22,228 sf</t>
  </si>
  <si>
    <t>Contiguous, more than 22,000 sf per floor</t>
  </si>
  <si>
    <t>Contiguous, less than 22,000 sf per floor</t>
  </si>
  <si>
    <t>Non-Contiguous, more than 22,000 sf per floor</t>
  </si>
  <si>
    <t>Non-Contiguous, less than 22,000 sf per floor</t>
  </si>
  <si>
    <t>Carparking</t>
  </si>
  <si>
    <t>Availability to accommodate carparking criteria</t>
  </si>
  <si>
    <t xml:space="preserve">Yes within the development </t>
  </si>
  <si>
    <t xml:space="preserve">Not within the development per se but with supplementary lots from the vicinity </t>
  </si>
  <si>
    <t xml:space="preserve">Not within the development and not within the vicnity </t>
  </si>
  <si>
    <t>Sustainability and Environment</t>
  </si>
  <si>
    <t>BCA Greenmark Rating and willingness to work with IBM on ESG initiatives</t>
  </si>
  <si>
    <t>BCA Greenmark Platinum at least</t>
  </si>
  <si>
    <t>Willingness to work with IBM on the ESG initiatives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</si>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</sst>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[Red]\(#,##0.0\)"/>
    <numFmt numFmtId="165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indexed="55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0103A"/>
        <bgColor indexed="64"/>
      </patternFill>
    </fill>
    <fill>
      <patternFill patternType="solid">
        <fgColor rgb="FFD0103A"/>
        <bgColor indexed="22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89">
    <xf numFmtId="0" fontId="0" fillId="0" borderId="0" xfId="0"/>
    <xf numFmtId="0" fontId="3" fillId="0" borderId="0" xfId="2" applyFont="1" applyAlignment="1">
      <alignment vertical="center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vertical="top"/>
    </xf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2" fontId="5" fillId="2" borderId="1" xfId="2" applyNumberFormat="1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6" fillId="3" borderId="4" xfId="2" applyFont="1" applyFill="1" applyBorder="1" applyAlignment="1">
      <alignment vertical="center"/>
    </xf>
    <xf numFmtId="0" fontId="6" fillId="3" borderId="4" xfId="2" applyFont="1" applyFill="1" applyBorder="1" applyAlignment="1">
      <alignment horizontal="left" vertical="center"/>
    </xf>
    <xf numFmtId="0" fontId="6" fillId="3" borderId="4" xfId="2" applyFont="1" applyFill="1" applyBorder="1" applyAlignment="1">
      <alignment vertical="center" wrapText="1"/>
    </xf>
    <xf numFmtId="0" fontId="6" fillId="3" borderId="4" xfId="2" applyFont="1" applyFill="1" applyBorder="1" applyAlignment="1">
      <alignment horizontal="center" vertical="center"/>
    </xf>
    <xf numFmtId="2" fontId="6" fillId="3" borderId="4" xfId="2" applyNumberFormat="1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/>
    </xf>
    <xf numFmtId="0" fontId="6" fillId="4" borderId="6" xfId="2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left" vertical="center" wrapText="1"/>
    </xf>
    <xf numFmtId="0" fontId="2" fillId="0" borderId="7" xfId="2" applyBorder="1" applyAlignment="1">
      <alignment horizontal="left" vertical="center" wrapText="1"/>
    </xf>
    <xf numFmtId="9" fontId="5" fillId="0" borderId="7" xfId="1" applyFont="1" applyFill="1" applyBorder="1" applyAlignment="1">
      <alignment horizontal="center" vertical="center"/>
    </xf>
    <xf numFmtId="0" fontId="2" fillId="0" borderId="7" xfId="2" applyBorder="1" applyAlignment="1">
      <alignment vertical="center"/>
    </xf>
    <xf numFmtId="38" fontId="2" fillId="0" borderId="7" xfId="2" applyNumberFormat="1" applyBorder="1" applyAlignment="1">
      <alignment horizontal="center" vertical="center"/>
    </xf>
    <xf numFmtId="38" fontId="2" fillId="0" borderId="2" xfId="2" applyNumberFormat="1" applyBorder="1" applyAlignment="1">
      <alignment horizontal="center" vertical="center"/>
    </xf>
    <xf numFmtId="164" fontId="7" fillId="0" borderId="3" xfId="2" applyNumberFormat="1" applyFont="1" applyBorder="1" applyAlignment="1">
      <alignment horizontal="center" vertical="center"/>
    </xf>
    <xf numFmtId="38" fontId="2" fillId="0" borderId="8" xfId="2" applyNumberForma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9" xfId="2" applyFont="1" applyBorder="1" applyAlignment="1">
      <alignment horizontal="left" vertical="center" wrapText="1"/>
    </xf>
    <xf numFmtId="0" fontId="2" fillId="0" borderId="9" xfId="2" applyBorder="1" applyAlignment="1">
      <alignment horizontal="left" vertical="center" wrapText="1"/>
    </xf>
    <xf numFmtId="9" fontId="5" fillId="0" borderId="9" xfId="1" applyFont="1" applyFill="1" applyBorder="1" applyAlignment="1">
      <alignment horizontal="center" vertical="center"/>
    </xf>
    <xf numFmtId="0" fontId="2" fillId="0" borderId="9" xfId="2" applyBorder="1" applyAlignment="1">
      <alignment vertical="center"/>
    </xf>
    <xf numFmtId="38" fontId="2" fillId="0" borderId="10" xfId="2" applyNumberFormat="1" applyBorder="1" applyAlignment="1">
      <alignment horizontal="center" vertical="center"/>
    </xf>
    <xf numFmtId="38" fontId="2" fillId="0" borderId="5" xfId="2" applyNumberFormat="1" applyBorder="1" applyAlignment="1">
      <alignment horizontal="center" vertical="center"/>
    </xf>
    <xf numFmtId="164" fontId="7" fillId="0" borderId="6" xfId="2" applyNumberFormat="1" applyFont="1" applyBorder="1" applyAlignment="1">
      <alignment horizontal="center" vertical="center"/>
    </xf>
    <xf numFmtId="38" fontId="2" fillId="0" borderId="0" xfId="2" applyNumberFormat="1" applyAlignment="1">
      <alignment horizontal="center" vertical="center"/>
    </xf>
    <xf numFmtId="0" fontId="5" fillId="0" borderId="0" xfId="2" applyFont="1" applyAlignment="1">
      <alignment vertical="top"/>
    </xf>
    <xf numFmtId="0" fontId="5" fillId="0" borderId="4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2" fillId="0" borderId="4" xfId="2" applyBorder="1" applyAlignment="1">
      <alignment horizontal="left" vertical="center" wrapText="1"/>
    </xf>
    <xf numFmtId="9" fontId="5" fillId="0" borderId="4" xfId="1" applyFont="1" applyFill="1" applyBorder="1" applyAlignment="1">
      <alignment horizontal="center" vertical="center"/>
    </xf>
    <xf numFmtId="0" fontId="2" fillId="0" borderId="10" xfId="2" applyBorder="1" applyAlignment="1">
      <alignment vertical="center"/>
    </xf>
    <xf numFmtId="0" fontId="2" fillId="0" borderId="0" xfId="3" applyAlignment="1">
      <alignment vertical="top"/>
    </xf>
    <xf numFmtId="38" fontId="2" fillId="0" borderId="11" xfId="2" applyNumberFormat="1" applyBorder="1" applyAlignment="1">
      <alignment horizontal="center" vertical="center"/>
    </xf>
    <xf numFmtId="0" fontId="2" fillId="0" borderId="11" xfId="2" applyBorder="1" applyAlignment="1">
      <alignment vertical="center"/>
    </xf>
    <xf numFmtId="38" fontId="2" fillId="0" borderId="9" xfId="2" applyNumberFormat="1" applyBorder="1" applyAlignment="1">
      <alignment horizontal="center" vertical="center"/>
    </xf>
    <xf numFmtId="38" fontId="2" fillId="0" borderId="12" xfId="2" applyNumberFormat="1" applyBorder="1" applyAlignment="1">
      <alignment horizontal="center" vertical="center"/>
    </xf>
    <xf numFmtId="164" fontId="7" fillId="0" borderId="13" xfId="2" applyNumberFormat="1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7" xfId="3" applyFont="1" applyBorder="1" applyAlignment="1">
      <alignment horizontal="left" vertical="center" wrapText="1"/>
    </xf>
    <xf numFmtId="0" fontId="2" fillId="0" borderId="7" xfId="3" applyBorder="1" applyAlignment="1">
      <alignment horizontal="left" vertical="center" wrapText="1"/>
    </xf>
    <xf numFmtId="0" fontId="5" fillId="0" borderId="10" xfId="3" applyFont="1" applyBorder="1" applyAlignment="1">
      <alignment horizontal="center" vertical="center"/>
    </xf>
    <xf numFmtId="0" fontId="5" fillId="0" borderId="10" xfId="3" applyFont="1" applyBorder="1" applyAlignment="1">
      <alignment horizontal="left" vertical="center" wrapText="1"/>
    </xf>
    <xf numFmtId="0" fontId="2" fillId="0" borderId="10" xfId="3" applyBorder="1" applyAlignment="1">
      <alignment horizontal="left" vertical="center" wrapText="1"/>
    </xf>
    <xf numFmtId="9" fontId="5" fillId="0" borderId="10" xfId="1" applyFont="1" applyFill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1" xfId="3" applyFont="1" applyBorder="1" applyAlignment="1">
      <alignment horizontal="left" vertical="center" wrapText="1"/>
    </xf>
    <xf numFmtId="0" fontId="2" fillId="0" borderId="11" xfId="3" applyBorder="1" applyAlignment="1">
      <alignment horizontal="left" vertical="center" wrapText="1"/>
    </xf>
    <xf numFmtId="9" fontId="5" fillId="0" borderId="11" xfId="1" applyFont="1" applyFill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9" xfId="3" applyFont="1" applyBorder="1" applyAlignment="1">
      <alignment horizontal="left" vertical="center" wrapText="1"/>
    </xf>
    <xf numFmtId="0" fontId="2" fillId="0" borderId="9" xfId="3" applyBorder="1" applyAlignment="1">
      <alignment horizontal="left" vertical="center" wrapText="1"/>
    </xf>
    <xf numFmtId="0" fontId="5" fillId="0" borderId="14" xfId="2" applyFont="1" applyBorder="1" applyAlignment="1">
      <alignment horizontal="center" vertical="center"/>
    </xf>
    <xf numFmtId="0" fontId="5" fillId="0" borderId="14" xfId="2" applyFont="1" applyBorder="1" applyAlignment="1">
      <alignment horizontal="left" vertical="center" wrapText="1"/>
    </xf>
    <xf numFmtId="0" fontId="2" fillId="0" borderId="14" xfId="2" applyBorder="1" applyAlignment="1">
      <alignment horizontal="left" vertical="center" wrapText="1"/>
    </xf>
    <xf numFmtId="165" fontId="5" fillId="0" borderId="14" xfId="1" applyNumberFormat="1" applyFont="1" applyFill="1" applyBorder="1" applyAlignment="1">
      <alignment horizontal="center" vertical="center"/>
    </xf>
    <xf numFmtId="0" fontId="2" fillId="0" borderId="14" xfId="2" applyBorder="1" applyAlignment="1">
      <alignment vertical="center"/>
    </xf>
    <xf numFmtId="165" fontId="5" fillId="0" borderId="4" xfId="1" applyNumberFormat="1" applyFont="1" applyFill="1" applyBorder="1" applyAlignment="1">
      <alignment horizontal="center" vertical="center"/>
    </xf>
    <xf numFmtId="9" fontId="2" fillId="0" borderId="0" xfId="1" applyFont="1" applyBorder="1" applyAlignment="1">
      <alignment vertical="top"/>
    </xf>
    <xf numFmtId="0" fontId="5" fillId="0" borderId="15" xfId="2" applyFont="1" applyBorder="1" applyAlignment="1">
      <alignment horizontal="center" vertical="center"/>
    </xf>
    <xf numFmtId="0" fontId="5" fillId="0" borderId="15" xfId="2" applyFont="1" applyBorder="1" applyAlignment="1">
      <alignment horizontal="left" vertical="center" wrapText="1"/>
    </xf>
    <xf numFmtId="0" fontId="2" fillId="0" borderId="15" xfId="2" applyBorder="1" applyAlignment="1">
      <alignment horizontal="left" vertical="center" wrapText="1"/>
    </xf>
    <xf numFmtId="165" fontId="5" fillId="0" borderId="15" xfId="1" applyNumberFormat="1" applyFont="1" applyFill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0" xfId="2" applyFont="1" applyBorder="1" applyAlignment="1">
      <alignment horizontal="left" vertical="center" wrapText="1"/>
    </xf>
    <xf numFmtId="9" fontId="5" fillId="0" borderId="15" xfId="1" applyFont="1" applyFill="1" applyBorder="1" applyAlignment="1">
      <alignment horizontal="center" vertical="center"/>
    </xf>
    <xf numFmtId="9" fontId="5" fillId="0" borderId="14" xfId="1" applyFont="1" applyFill="1" applyBorder="1" applyAlignment="1">
      <alignment horizontal="center" vertical="center"/>
    </xf>
    <xf numFmtId="0" fontId="5" fillId="0" borderId="15" xfId="2" applyFont="1" applyBorder="1" applyAlignment="1">
      <alignment horizontal="center" vertical="center"/>
    </xf>
    <xf numFmtId="0" fontId="5" fillId="0" borderId="15" xfId="2" applyFont="1" applyBorder="1" applyAlignment="1">
      <alignment horizontal="left" vertical="center" wrapText="1"/>
    </xf>
    <xf numFmtId="0" fontId="5" fillId="0" borderId="15" xfId="2" applyFont="1" applyBorder="1" applyAlignment="1">
      <alignment vertical="center" wrapText="1"/>
    </xf>
    <xf numFmtId="9" fontId="5" fillId="0" borderId="15" xfId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40" fontId="5" fillId="0" borderId="1" xfId="2" applyNumberFormat="1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164" fontId="9" fillId="5" borderId="17" xfId="2" applyNumberFormat="1" applyFont="1" applyFill="1" applyBorder="1" applyAlignment="1">
      <alignment horizontal="center" vertical="center"/>
    </xf>
    <xf numFmtId="0" fontId="2" fillId="0" borderId="0" xfId="2" applyAlignment="1">
      <alignment horizontal="center" vertical="top"/>
    </xf>
    <xf numFmtId="0" fontId="2" fillId="0" borderId="0" xfId="2" applyAlignment="1">
      <alignment horizontal="left" vertical="top"/>
    </xf>
    <xf numFmtId="2" fontId="2" fillId="0" borderId="0" xfId="2" applyNumberFormat="1" applyAlignment="1">
      <alignment vertical="top"/>
    </xf>
  </cellXfs>
  <cellStyles count="4">
    <cellStyle name="Normal" xfId="0" builtinId="0"/>
    <cellStyle name="Normal 3 2" xfId="2" xr:uid="{4371B27F-24B2-C242-828E-89858D13BD93}"/>
    <cellStyle name="Normal 3 2 2" xfId="3" xr:uid="{B99C5521-0C5B-AD44-80B9-FB12E809AA2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0C3AD-C718-4B42-92CC-7838E21B9B72}">
  <dimension ref="B1:Q43"/>
  <sheetViews>
    <sheetView tabSelected="1" workbookViewId="0">
      <selection activeCell="E47" sqref="E47"/>
    </sheetView>
  </sheetViews>
  <sheetFormatPr baseColWidth="10" defaultColWidth="9.1640625" defaultRowHeight="13" x14ac:dyDescent="0.2"/>
  <cols>
    <col min="1" max="1" width="1" style="4" customWidth="1"/>
    <col min="2" max="2" width="3.5" style="86" customWidth="1"/>
    <col min="3" max="3" width="20.83203125" style="87" customWidth="1"/>
    <col min="4" max="4" width="29.83203125" style="88" customWidth="1"/>
    <col min="5" max="5" width="18.5" style="4" customWidth="1"/>
    <col min="6" max="6" width="66.6640625" style="4" customWidth="1"/>
    <col min="7" max="7" width="14.1640625" style="4" customWidth="1"/>
    <col min="8" max="15" width="11" style="4" customWidth="1"/>
    <col min="16" max="161" width="9.1640625" style="4"/>
    <col min="162" max="162" width="3.5" style="4" customWidth="1"/>
    <col min="163" max="163" width="16.83203125" style="4" customWidth="1"/>
    <col min="164" max="164" width="19.1640625" style="4" customWidth="1"/>
    <col min="165" max="165" width="9.83203125" style="4" customWidth="1"/>
    <col min="166" max="166" width="81.83203125" style="4" customWidth="1"/>
    <col min="167" max="167" width="10" style="4" customWidth="1"/>
    <col min="168" max="168" width="8" style="4" customWidth="1"/>
    <col min="169" max="169" width="7.1640625" style="4" customWidth="1"/>
    <col min="170" max="175" width="8" style="4" customWidth="1"/>
    <col min="176" max="417" width="9.1640625" style="4"/>
    <col min="418" max="418" width="3.5" style="4" customWidth="1"/>
    <col min="419" max="419" width="16.83203125" style="4" customWidth="1"/>
    <col min="420" max="420" width="19.1640625" style="4" customWidth="1"/>
    <col min="421" max="421" width="9.83203125" style="4" customWidth="1"/>
    <col min="422" max="422" width="81.83203125" style="4" customWidth="1"/>
    <col min="423" max="423" width="10" style="4" customWidth="1"/>
    <col min="424" max="424" width="8" style="4" customWidth="1"/>
    <col min="425" max="425" width="7.1640625" style="4" customWidth="1"/>
    <col min="426" max="431" width="8" style="4" customWidth="1"/>
    <col min="432" max="673" width="9.1640625" style="4"/>
    <col min="674" max="674" width="3.5" style="4" customWidth="1"/>
    <col min="675" max="675" width="16.83203125" style="4" customWidth="1"/>
    <col min="676" max="676" width="19.1640625" style="4" customWidth="1"/>
    <col min="677" max="677" width="9.83203125" style="4" customWidth="1"/>
    <col min="678" max="678" width="81.83203125" style="4" customWidth="1"/>
    <col min="679" max="679" width="10" style="4" customWidth="1"/>
    <col min="680" max="680" width="8" style="4" customWidth="1"/>
    <col min="681" max="681" width="7.1640625" style="4" customWidth="1"/>
    <col min="682" max="687" width="8" style="4" customWidth="1"/>
    <col min="688" max="929" width="9.1640625" style="4"/>
    <col min="930" max="930" width="3.5" style="4" customWidth="1"/>
    <col min="931" max="931" width="16.83203125" style="4" customWidth="1"/>
    <col min="932" max="932" width="19.1640625" style="4" customWidth="1"/>
    <col min="933" max="933" width="9.83203125" style="4" customWidth="1"/>
    <col min="934" max="934" width="81.83203125" style="4" customWidth="1"/>
    <col min="935" max="935" width="10" style="4" customWidth="1"/>
    <col min="936" max="936" width="8" style="4" customWidth="1"/>
    <col min="937" max="937" width="7.1640625" style="4" customWidth="1"/>
    <col min="938" max="943" width="8" style="4" customWidth="1"/>
    <col min="944" max="1185" width="9.1640625" style="4"/>
    <col min="1186" max="1186" width="3.5" style="4" customWidth="1"/>
    <col min="1187" max="1187" width="16.83203125" style="4" customWidth="1"/>
    <col min="1188" max="1188" width="19.1640625" style="4" customWidth="1"/>
    <col min="1189" max="1189" width="9.83203125" style="4" customWidth="1"/>
    <col min="1190" max="1190" width="81.83203125" style="4" customWidth="1"/>
    <col min="1191" max="1191" width="10" style="4" customWidth="1"/>
    <col min="1192" max="1192" width="8" style="4" customWidth="1"/>
    <col min="1193" max="1193" width="7.1640625" style="4" customWidth="1"/>
    <col min="1194" max="1199" width="8" style="4" customWidth="1"/>
    <col min="1200" max="1441" width="9.1640625" style="4"/>
    <col min="1442" max="1442" width="3.5" style="4" customWidth="1"/>
    <col min="1443" max="1443" width="16.83203125" style="4" customWidth="1"/>
    <col min="1444" max="1444" width="19.1640625" style="4" customWidth="1"/>
    <col min="1445" max="1445" width="9.83203125" style="4" customWidth="1"/>
    <col min="1446" max="1446" width="81.83203125" style="4" customWidth="1"/>
    <col min="1447" max="1447" width="10" style="4" customWidth="1"/>
    <col min="1448" max="1448" width="8" style="4" customWidth="1"/>
    <col min="1449" max="1449" width="7.1640625" style="4" customWidth="1"/>
    <col min="1450" max="1455" width="8" style="4" customWidth="1"/>
    <col min="1456" max="1697" width="9.1640625" style="4"/>
    <col min="1698" max="1698" width="3.5" style="4" customWidth="1"/>
    <col min="1699" max="1699" width="16.83203125" style="4" customWidth="1"/>
    <col min="1700" max="1700" width="19.1640625" style="4" customWidth="1"/>
    <col min="1701" max="1701" width="9.83203125" style="4" customWidth="1"/>
    <col min="1702" max="1702" width="81.83203125" style="4" customWidth="1"/>
    <col min="1703" max="1703" width="10" style="4" customWidth="1"/>
    <col min="1704" max="1704" width="8" style="4" customWidth="1"/>
    <col min="1705" max="1705" width="7.1640625" style="4" customWidth="1"/>
    <col min="1706" max="1711" width="8" style="4" customWidth="1"/>
    <col min="1712" max="1953" width="9.1640625" style="4"/>
    <col min="1954" max="1954" width="3.5" style="4" customWidth="1"/>
    <col min="1955" max="1955" width="16.83203125" style="4" customWidth="1"/>
    <col min="1956" max="1956" width="19.1640625" style="4" customWidth="1"/>
    <col min="1957" max="1957" width="9.83203125" style="4" customWidth="1"/>
    <col min="1958" max="1958" width="81.83203125" style="4" customWidth="1"/>
    <col min="1959" max="1959" width="10" style="4" customWidth="1"/>
    <col min="1960" max="1960" width="8" style="4" customWidth="1"/>
    <col min="1961" max="1961" width="7.1640625" style="4" customWidth="1"/>
    <col min="1962" max="1967" width="8" style="4" customWidth="1"/>
    <col min="1968" max="2209" width="9.1640625" style="4"/>
    <col min="2210" max="2210" width="3.5" style="4" customWidth="1"/>
    <col min="2211" max="2211" width="16.83203125" style="4" customWidth="1"/>
    <col min="2212" max="2212" width="19.1640625" style="4" customWidth="1"/>
    <col min="2213" max="2213" width="9.83203125" style="4" customWidth="1"/>
    <col min="2214" max="2214" width="81.83203125" style="4" customWidth="1"/>
    <col min="2215" max="2215" width="10" style="4" customWidth="1"/>
    <col min="2216" max="2216" width="8" style="4" customWidth="1"/>
    <col min="2217" max="2217" width="7.1640625" style="4" customWidth="1"/>
    <col min="2218" max="2223" width="8" style="4" customWidth="1"/>
    <col min="2224" max="2465" width="9.1640625" style="4"/>
    <col min="2466" max="2466" width="3.5" style="4" customWidth="1"/>
    <col min="2467" max="2467" width="16.83203125" style="4" customWidth="1"/>
    <col min="2468" max="2468" width="19.1640625" style="4" customWidth="1"/>
    <col min="2469" max="2469" width="9.83203125" style="4" customWidth="1"/>
    <col min="2470" max="2470" width="81.83203125" style="4" customWidth="1"/>
    <col min="2471" max="2471" width="10" style="4" customWidth="1"/>
    <col min="2472" max="2472" width="8" style="4" customWidth="1"/>
    <col min="2473" max="2473" width="7.1640625" style="4" customWidth="1"/>
    <col min="2474" max="2479" width="8" style="4" customWidth="1"/>
    <col min="2480" max="2721" width="9.1640625" style="4"/>
    <col min="2722" max="2722" width="3.5" style="4" customWidth="1"/>
    <col min="2723" max="2723" width="16.83203125" style="4" customWidth="1"/>
    <col min="2724" max="2724" width="19.1640625" style="4" customWidth="1"/>
    <col min="2725" max="2725" width="9.83203125" style="4" customWidth="1"/>
    <col min="2726" max="2726" width="81.83203125" style="4" customWidth="1"/>
    <col min="2727" max="2727" width="10" style="4" customWidth="1"/>
    <col min="2728" max="2728" width="8" style="4" customWidth="1"/>
    <col min="2729" max="2729" width="7.1640625" style="4" customWidth="1"/>
    <col min="2730" max="2735" width="8" style="4" customWidth="1"/>
    <col min="2736" max="2977" width="9.1640625" style="4"/>
    <col min="2978" max="2978" width="3.5" style="4" customWidth="1"/>
    <col min="2979" max="2979" width="16.83203125" style="4" customWidth="1"/>
    <col min="2980" max="2980" width="19.1640625" style="4" customWidth="1"/>
    <col min="2981" max="2981" width="9.83203125" style="4" customWidth="1"/>
    <col min="2982" max="2982" width="81.83203125" style="4" customWidth="1"/>
    <col min="2983" max="2983" width="10" style="4" customWidth="1"/>
    <col min="2984" max="2984" width="8" style="4" customWidth="1"/>
    <col min="2985" max="2985" width="7.1640625" style="4" customWidth="1"/>
    <col min="2986" max="2991" width="8" style="4" customWidth="1"/>
    <col min="2992" max="3233" width="9.1640625" style="4"/>
    <col min="3234" max="3234" width="3.5" style="4" customWidth="1"/>
    <col min="3235" max="3235" width="16.83203125" style="4" customWidth="1"/>
    <col min="3236" max="3236" width="19.1640625" style="4" customWidth="1"/>
    <col min="3237" max="3237" width="9.83203125" style="4" customWidth="1"/>
    <col min="3238" max="3238" width="81.83203125" style="4" customWidth="1"/>
    <col min="3239" max="3239" width="10" style="4" customWidth="1"/>
    <col min="3240" max="3240" width="8" style="4" customWidth="1"/>
    <col min="3241" max="3241" width="7.1640625" style="4" customWidth="1"/>
    <col min="3242" max="3247" width="8" style="4" customWidth="1"/>
    <col min="3248" max="3489" width="9.1640625" style="4"/>
    <col min="3490" max="3490" width="3.5" style="4" customWidth="1"/>
    <col min="3491" max="3491" width="16.83203125" style="4" customWidth="1"/>
    <col min="3492" max="3492" width="19.1640625" style="4" customWidth="1"/>
    <col min="3493" max="3493" width="9.83203125" style="4" customWidth="1"/>
    <col min="3494" max="3494" width="81.83203125" style="4" customWidth="1"/>
    <col min="3495" max="3495" width="10" style="4" customWidth="1"/>
    <col min="3496" max="3496" width="8" style="4" customWidth="1"/>
    <col min="3497" max="3497" width="7.1640625" style="4" customWidth="1"/>
    <col min="3498" max="3503" width="8" style="4" customWidth="1"/>
    <col min="3504" max="3745" width="9.1640625" style="4"/>
    <col min="3746" max="3746" width="3.5" style="4" customWidth="1"/>
    <col min="3747" max="3747" width="16.83203125" style="4" customWidth="1"/>
    <col min="3748" max="3748" width="19.1640625" style="4" customWidth="1"/>
    <col min="3749" max="3749" width="9.83203125" style="4" customWidth="1"/>
    <col min="3750" max="3750" width="81.83203125" style="4" customWidth="1"/>
    <col min="3751" max="3751" width="10" style="4" customWidth="1"/>
    <col min="3752" max="3752" width="8" style="4" customWidth="1"/>
    <col min="3753" max="3753" width="7.1640625" style="4" customWidth="1"/>
    <col min="3754" max="3759" width="8" style="4" customWidth="1"/>
    <col min="3760" max="4001" width="9.1640625" style="4"/>
    <col min="4002" max="4002" width="3.5" style="4" customWidth="1"/>
    <col min="4003" max="4003" width="16.83203125" style="4" customWidth="1"/>
    <col min="4004" max="4004" width="19.1640625" style="4" customWidth="1"/>
    <col min="4005" max="4005" width="9.83203125" style="4" customWidth="1"/>
    <col min="4006" max="4006" width="81.83203125" style="4" customWidth="1"/>
    <col min="4007" max="4007" width="10" style="4" customWidth="1"/>
    <col min="4008" max="4008" width="8" style="4" customWidth="1"/>
    <col min="4009" max="4009" width="7.1640625" style="4" customWidth="1"/>
    <col min="4010" max="4015" width="8" style="4" customWidth="1"/>
    <col min="4016" max="4257" width="9.1640625" style="4"/>
    <col min="4258" max="4258" width="3.5" style="4" customWidth="1"/>
    <col min="4259" max="4259" width="16.83203125" style="4" customWidth="1"/>
    <col min="4260" max="4260" width="19.1640625" style="4" customWidth="1"/>
    <col min="4261" max="4261" width="9.83203125" style="4" customWidth="1"/>
    <col min="4262" max="4262" width="81.83203125" style="4" customWidth="1"/>
    <col min="4263" max="4263" width="10" style="4" customWidth="1"/>
    <col min="4264" max="4264" width="8" style="4" customWidth="1"/>
    <col min="4265" max="4265" width="7.1640625" style="4" customWidth="1"/>
    <col min="4266" max="4271" width="8" style="4" customWidth="1"/>
    <col min="4272" max="4513" width="9.1640625" style="4"/>
    <col min="4514" max="4514" width="3.5" style="4" customWidth="1"/>
    <col min="4515" max="4515" width="16.83203125" style="4" customWidth="1"/>
    <col min="4516" max="4516" width="19.1640625" style="4" customWidth="1"/>
    <col min="4517" max="4517" width="9.83203125" style="4" customWidth="1"/>
    <col min="4518" max="4518" width="81.83203125" style="4" customWidth="1"/>
    <col min="4519" max="4519" width="10" style="4" customWidth="1"/>
    <col min="4520" max="4520" width="8" style="4" customWidth="1"/>
    <col min="4521" max="4521" width="7.1640625" style="4" customWidth="1"/>
    <col min="4522" max="4527" width="8" style="4" customWidth="1"/>
    <col min="4528" max="4769" width="9.1640625" style="4"/>
    <col min="4770" max="4770" width="3.5" style="4" customWidth="1"/>
    <col min="4771" max="4771" width="16.83203125" style="4" customWidth="1"/>
    <col min="4772" max="4772" width="19.1640625" style="4" customWidth="1"/>
    <col min="4773" max="4773" width="9.83203125" style="4" customWidth="1"/>
    <col min="4774" max="4774" width="81.83203125" style="4" customWidth="1"/>
    <col min="4775" max="4775" width="10" style="4" customWidth="1"/>
    <col min="4776" max="4776" width="8" style="4" customWidth="1"/>
    <col min="4777" max="4777" width="7.1640625" style="4" customWidth="1"/>
    <col min="4778" max="4783" width="8" style="4" customWidth="1"/>
    <col min="4784" max="5025" width="9.1640625" style="4"/>
    <col min="5026" max="5026" width="3.5" style="4" customWidth="1"/>
    <col min="5027" max="5027" width="16.83203125" style="4" customWidth="1"/>
    <col min="5028" max="5028" width="19.1640625" style="4" customWidth="1"/>
    <col min="5029" max="5029" width="9.83203125" style="4" customWidth="1"/>
    <col min="5030" max="5030" width="81.83203125" style="4" customWidth="1"/>
    <col min="5031" max="5031" width="10" style="4" customWidth="1"/>
    <col min="5032" max="5032" width="8" style="4" customWidth="1"/>
    <col min="5033" max="5033" width="7.1640625" style="4" customWidth="1"/>
    <col min="5034" max="5039" width="8" style="4" customWidth="1"/>
    <col min="5040" max="5281" width="9.1640625" style="4"/>
    <col min="5282" max="5282" width="3.5" style="4" customWidth="1"/>
    <col min="5283" max="5283" width="16.83203125" style="4" customWidth="1"/>
    <col min="5284" max="5284" width="19.1640625" style="4" customWidth="1"/>
    <col min="5285" max="5285" width="9.83203125" style="4" customWidth="1"/>
    <col min="5286" max="5286" width="81.83203125" style="4" customWidth="1"/>
    <col min="5287" max="5287" width="10" style="4" customWidth="1"/>
    <col min="5288" max="5288" width="8" style="4" customWidth="1"/>
    <col min="5289" max="5289" width="7.1640625" style="4" customWidth="1"/>
    <col min="5290" max="5295" width="8" style="4" customWidth="1"/>
    <col min="5296" max="5537" width="9.1640625" style="4"/>
    <col min="5538" max="5538" width="3.5" style="4" customWidth="1"/>
    <col min="5539" max="5539" width="16.83203125" style="4" customWidth="1"/>
    <col min="5540" max="5540" width="19.1640625" style="4" customWidth="1"/>
    <col min="5541" max="5541" width="9.83203125" style="4" customWidth="1"/>
    <col min="5542" max="5542" width="81.83203125" style="4" customWidth="1"/>
    <col min="5543" max="5543" width="10" style="4" customWidth="1"/>
    <col min="5544" max="5544" width="8" style="4" customWidth="1"/>
    <col min="5545" max="5545" width="7.1640625" style="4" customWidth="1"/>
    <col min="5546" max="5551" width="8" style="4" customWidth="1"/>
    <col min="5552" max="5793" width="9.1640625" style="4"/>
    <col min="5794" max="5794" width="3.5" style="4" customWidth="1"/>
    <col min="5795" max="5795" width="16.83203125" style="4" customWidth="1"/>
    <col min="5796" max="5796" width="19.1640625" style="4" customWidth="1"/>
    <col min="5797" max="5797" width="9.83203125" style="4" customWidth="1"/>
    <col min="5798" max="5798" width="81.83203125" style="4" customWidth="1"/>
    <col min="5799" max="5799" width="10" style="4" customWidth="1"/>
    <col min="5800" max="5800" width="8" style="4" customWidth="1"/>
    <col min="5801" max="5801" width="7.1640625" style="4" customWidth="1"/>
    <col min="5802" max="5807" width="8" style="4" customWidth="1"/>
    <col min="5808" max="6049" width="9.1640625" style="4"/>
    <col min="6050" max="6050" width="3.5" style="4" customWidth="1"/>
    <col min="6051" max="6051" width="16.83203125" style="4" customWidth="1"/>
    <col min="6052" max="6052" width="19.1640625" style="4" customWidth="1"/>
    <col min="6053" max="6053" width="9.83203125" style="4" customWidth="1"/>
    <col min="6054" max="6054" width="81.83203125" style="4" customWidth="1"/>
    <col min="6055" max="6055" width="10" style="4" customWidth="1"/>
    <col min="6056" max="6056" width="8" style="4" customWidth="1"/>
    <col min="6057" max="6057" width="7.1640625" style="4" customWidth="1"/>
    <col min="6058" max="6063" width="8" style="4" customWidth="1"/>
    <col min="6064" max="6305" width="9.1640625" style="4"/>
    <col min="6306" max="6306" width="3.5" style="4" customWidth="1"/>
    <col min="6307" max="6307" width="16.83203125" style="4" customWidth="1"/>
    <col min="6308" max="6308" width="19.1640625" style="4" customWidth="1"/>
    <col min="6309" max="6309" width="9.83203125" style="4" customWidth="1"/>
    <col min="6310" max="6310" width="81.83203125" style="4" customWidth="1"/>
    <col min="6311" max="6311" width="10" style="4" customWidth="1"/>
    <col min="6312" max="6312" width="8" style="4" customWidth="1"/>
    <col min="6313" max="6313" width="7.1640625" style="4" customWidth="1"/>
    <col min="6314" max="6319" width="8" style="4" customWidth="1"/>
    <col min="6320" max="6561" width="9.1640625" style="4"/>
    <col min="6562" max="6562" width="3.5" style="4" customWidth="1"/>
    <col min="6563" max="6563" width="16.83203125" style="4" customWidth="1"/>
    <col min="6564" max="6564" width="19.1640625" style="4" customWidth="1"/>
    <col min="6565" max="6565" width="9.83203125" style="4" customWidth="1"/>
    <col min="6566" max="6566" width="81.83203125" style="4" customWidth="1"/>
    <col min="6567" max="6567" width="10" style="4" customWidth="1"/>
    <col min="6568" max="6568" width="8" style="4" customWidth="1"/>
    <col min="6569" max="6569" width="7.1640625" style="4" customWidth="1"/>
    <col min="6570" max="6575" width="8" style="4" customWidth="1"/>
    <col min="6576" max="6817" width="9.1640625" style="4"/>
    <col min="6818" max="6818" width="3.5" style="4" customWidth="1"/>
    <col min="6819" max="6819" width="16.83203125" style="4" customWidth="1"/>
    <col min="6820" max="6820" width="19.1640625" style="4" customWidth="1"/>
    <col min="6821" max="6821" width="9.83203125" style="4" customWidth="1"/>
    <col min="6822" max="6822" width="81.83203125" style="4" customWidth="1"/>
    <col min="6823" max="6823" width="10" style="4" customWidth="1"/>
    <col min="6824" max="6824" width="8" style="4" customWidth="1"/>
    <col min="6825" max="6825" width="7.1640625" style="4" customWidth="1"/>
    <col min="6826" max="6831" width="8" style="4" customWidth="1"/>
    <col min="6832" max="7073" width="9.1640625" style="4"/>
    <col min="7074" max="7074" width="3.5" style="4" customWidth="1"/>
    <col min="7075" max="7075" width="16.83203125" style="4" customWidth="1"/>
    <col min="7076" max="7076" width="19.1640625" style="4" customWidth="1"/>
    <col min="7077" max="7077" width="9.83203125" style="4" customWidth="1"/>
    <col min="7078" max="7078" width="81.83203125" style="4" customWidth="1"/>
    <col min="7079" max="7079" width="10" style="4" customWidth="1"/>
    <col min="7080" max="7080" width="8" style="4" customWidth="1"/>
    <col min="7081" max="7081" width="7.1640625" style="4" customWidth="1"/>
    <col min="7082" max="7087" width="8" style="4" customWidth="1"/>
    <col min="7088" max="7329" width="9.1640625" style="4"/>
    <col min="7330" max="7330" width="3.5" style="4" customWidth="1"/>
    <col min="7331" max="7331" width="16.83203125" style="4" customWidth="1"/>
    <col min="7332" max="7332" width="19.1640625" style="4" customWidth="1"/>
    <col min="7333" max="7333" width="9.83203125" style="4" customWidth="1"/>
    <col min="7334" max="7334" width="81.83203125" style="4" customWidth="1"/>
    <col min="7335" max="7335" width="10" style="4" customWidth="1"/>
    <col min="7336" max="7336" width="8" style="4" customWidth="1"/>
    <col min="7337" max="7337" width="7.1640625" style="4" customWidth="1"/>
    <col min="7338" max="7343" width="8" style="4" customWidth="1"/>
    <col min="7344" max="7585" width="9.1640625" style="4"/>
    <col min="7586" max="7586" width="3.5" style="4" customWidth="1"/>
    <col min="7587" max="7587" width="16.83203125" style="4" customWidth="1"/>
    <col min="7588" max="7588" width="19.1640625" style="4" customWidth="1"/>
    <col min="7589" max="7589" width="9.83203125" style="4" customWidth="1"/>
    <col min="7590" max="7590" width="81.83203125" style="4" customWidth="1"/>
    <col min="7591" max="7591" width="10" style="4" customWidth="1"/>
    <col min="7592" max="7592" width="8" style="4" customWidth="1"/>
    <col min="7593" max="7593" width="7.1640625" style="4" customWidth="1"/>
    <col min="7594" max="7599" width="8" style="4" customWidth="1"/>
    <col min="7600" max="7841" width="9.1640625" style="4"/>
    <col min="7842" max="7842" width="3.5" style="4" customWidth="1"/>
    <col min="7843" max="7843" width="16.83203125" style="4" customWidth="1"/>
    <col min="7844" max="7844" width="19.1640625" style="4" customWidth="1"/>
    <col min="7845" max="7845" width="9.83203125" style="4" customWidth="1"/>
    <col min="7846" max="7846" width="81.83203125" style="4" customWidth="1"/>
    <col min="7847" max="7847" width="10" style="4" customWidth="1"/>
    <col min="7848" max="7848" width="8" style="4" customWidth="1"/>
    <col min="7849" max="7849" width="7.1640625" style="4" customWidth="1"/>
    <col min="7850" max="7855" width="8" style="4" customWidth="1"/>
    <col min="7856" max="8097" width="9.1640625" style="4"/>
    <col min="8098" max="8098" width="3.5" style="4" customWidth="1"/>
    <col min="8099" max="8099" width="16.83203125" style="4" customWidth="1"/>
    <col min="8100" max="8100" width="19.1640625" style="4" customWidth="1"/>
    <col min="8101" max="8101" width="9.83203125" style="4" customWidth="1"/>
    <col min="8102" max="8102" width="81.83203125" style="4" customWidth="1"/>
    <col min="8103" max="8103" width="10" style="4" customWidth="1"/>
    <col min="8104" max="8104" width="8" style="4" customWidth="1"/>
    <col min="8105" max="8105" width="7.1640625" style="4" customWidth="1"/>
    <col min="8106" max="8111" width="8" style="4" customWidth="1"/>
    <col min="8112" max="8353" width="9.1640625" style="4"/>
    <col min="8354" max="8354" width="3.5" style="4" customWidth="1"/>
    <col min="8355" max="8355" width="16.83203125" style="4" customWidth="1"/>
    <col min="8356" max="8356" width="19.1640625" style="4" customWidth="1"/>
    <col min="8357" max="8357" width="9.83203125" style="4" customWidth="1"/>
    <col min="8358" max="8358" width="81.83203125" style="4" customWidth="1"/>
    <col min="8359" max="8359" width="10" style="4" customWidth="1"/>
    <col min="8360" max="8360" width="8" style="4" customWidth="1"/>
    <col min="8361" max="8361" width="7.1640625" style="4" customWidth="1"/>
    <col min="8362" max="8367" width="8" style="4" customWidth="1"/>
    <col min="8368" max="8609" width="9.1640625" style="4"/>
    <col min="8610" max="8610" width="3.5" style="4" customWidth="1"/>
    <col min="8611" max="8611" width="16.83203125" style="4" customWidth="1"/>
    <col min="8612" max="8612" width="19.1640625" style="4" customWidth="1"/>
    <col min="8613" max="8613" width="9.83203125" style="4" customWidth="1"/>
    <col min="8614" max="8614" width="81.83203125" style="4" customWidth="1"/>
    <col min="8615" max="8615" width="10" style="4" customWidth="1"/>
    <col min="8616" max="8616" width="8" style="4" customWidth="1"/>
    <col min="8617" max="8617" width="7.1640625" style="4" customWidth="1"/>
    <col min="8618" max="8623" width="8" style="4" customWidth="1"/>
    <col min="8624" max="8865" width="9.1640625" style="4"/>
    <col min="8866" max="8866" width="3.5" style="4" customWidth="1"/>
    <col min="8867" max="8867" width="16.83203125" style="4" customWidth="1"/>
    <col min="8868" max="8868" width="19.1640625" style="4" customWidth="1"/>
    <col min="8869" max="8869" width="9.83203125" style="4" customWidth="1"/>
    <col min="8870" max="8870" width="81.83203125" style="4" customWidth="1"/>
    <col min="8871" max="8871" width="10" style="4" customWidth="1"/>
    <col min="8872" max="8872" width="8" style="4" customWidth="1"/>
    <col min="8873" max="8873" width="7.1640625" style="4" customWidth="1"/>
    <col min="8874" max="8879" width="8" style="4" customWidth="1"/>
    <col min="8880" max="9121" width="9.1640625" style="4"/>
    <col min="9122" max="9122" width="3.5" style="4" customWidth="1"/>
    <col min="9123" max="9123" width="16.83203125" style="4" customWidth="1"/>
    <col min="9124" max="9124" width="19.1640625" style="4" customWidth="1"/>
    <col min="9125" max="9125" width="9.83203125" style="4" customWidth="1"/>
    <col min="9126" max="9126" width="81.83203125" style="4" customWidth="1"/>
    <col min="9127" max="9127" width="10" style="4" customWidth="1"/>
    <col min="9128" max="9128" width="8" style="4" customWidth="1"/>
    <col min="9129" max="9129" width="7.1640625" style="4" customWidth="1"/>
    <col min="9130" max="9135" width="8" style="4" customWidth="1"/>
    <col min="9136" max="9377" width="9.1640625" style="4"/>
    <col min="9378" max="9378" width="3.5" style="4" customWidth="1"/>
    <col min="9379" max="9379" width="16.83203125" style="4" customWidth="1"/>
    <col min="9380" max="9380" width="19.1640625" style="4" customWidth="1"/>
    <col min="9381" max="9381" width="9.83203125" style="4" customWidth="1"/>
    <col min="9382" max="9382" width="81.83203125" style="4" customWidth="1"/>
    <col min="9383" max="9383" width="10" style="4" customWidth="1"/>
    <col min="9384" max="9384" width="8" style="4" customWidth="1"/>
    <col min="9385" max="9385" width="7.1640625" style="4" customWidth="1"/>
    <col min="9386" max="9391" width="8" style="4" customWidth="1"/>
    <col min="9392" max="9633" width="9.1640625" style="4"/>
    <col min="9634" max="9634" width="3.5" style="4" customWidth="1"/>
    <col min="9635" max="9635" width="16.83203125" style="4" customWidth="1"/>
    <col min="9636" max="9636" width="19.1640625" style="4" customWidth="1"/>
    <col min="9637" max="9637" width="9.83203125" style="4" customWidth="1"/>
    <col min="9638" max="9638" width="81.83203125" style="4" customWidth="1"/>
    <col min="9639" max="9639" width="10" style="4" customWidth="1"/>
    <col min="9640" max="9640" width="8" style="4" customWidth="1"/>
    <col min="9641" max="9641" width="7.1640625" style="4" customWidth="1"/>
    <col min="9642" max="9647" width="8" style="4" customWidth="1"/>
    <col min="9648" max="9889" width="9.1640625" style="4"/>
    <col min="9890" max="9890" width="3.5" style="4" customWidth="1"/>
    <col min="9891" max="9891" width="16.83203125" style="4" customWidth="1"/>
    <col min="9892" max="9892" width="19.1640625" style="4" customWidth="1"/>
    <col min="9893" max="9893" width="9.83203125" style="4" customWidth="1"/>
    <col min="9894" max="9894" width="81.83203125" style="4" customWidth="1"/>
    <col min="9895" max="9895" width="10" style="4" customWidth="1"/>
    <col min="9896" max="9896" width="8" style="4" customWidth="1"/>
    <col min="9897" max="9897" width="7.1640625" style="4" customWidth="1"/>
    <col min="9898" max="9903" width="8" style="4" customWidth="1"/>
    <col min="9904" max="10145" width="9.1640625" style="4"/>
    <col min="10146" max="10146" width="3.5" style="4" customWidth="1"/>
    <col min="10147" max="10147" width="16.83203125" style="4" customWidth="1"/>
    <col min="10148" max="10148" width="19.1640625" style="4" customWidth="1"/>
    <col min="10149" max="10149" width="9.83203125" style="4" customWidth="1"/>
    <col min="10150" max="10150" width="81.83203125" style="4" customWidth="1"/>
    <col min="10151" max="10151" width="10" style="4" customWidth="1"/>
    <col min="10152" max="10152" width="8" style="4" customWidth="1"/>
    <col min="10153" max="10153" width="7.1640625" style="4" customWidth="1"/>
    <col min="10154" max="10159" width="8" style="4" customWidth="1"/>
    <col min="10160" max="10401" width="9.1640625" style="4"/>
    <col min="10402" max="10402" width="3.5" style="4" customWidth="1"/>
    <col min="10403" max="10403" width="16.83203125" style="4" customWidth="1"/>
    <col min="10404" max="10404" width="19.1640625" style="4" customWidth="1"/>
    <col min="10405" max="10405" width="9.83203125" style="4" customWidth="1"/>
    <col min="10406" max="10406" width="81.83203125" style="4" customWidth="1"/>
    <col min="10407" max="10407" width="10" style="4" customWidth="1"/>
    <col min="10408" max="10408" width="8" style="4" customWidth="1"/>
    <col min="10409" max="10409" width="7.1640625" style="4" customWidth="1"/>
    <col min="10410" max="10415" width="8" style="4" customWidth="1"/>
    <col min="10416" max="10657" width="9.1640625" style="4"/>
    <col min="10658" max="10658" width="3.5" style="4" customWidth="1"/>
    <col min="10659" max="10659" width="16.83203125" style="4" customWidth="1"/>
    <col min="10660" max="10660" width="19.1640625" style="4" customWidth="1"/>
    <col min="10661" max="10661" width="9.83203125" style="4" customWidth="1"/>
    <col min="10662" max="10662" width="81.83203125" style="4" customWidth="1"/>
    <col min="10663" max="10663" width="10" style="4" customWidth="1"/>
    <col min="10664" max="10664" width="8" style="4" customWidth="1"/>
    <col min="10665" max="10665" width="7.1640625" style="4" customWidth="1"/>
    <col min="10666" max="10671" width="8" style="4" customWidth="1"/>
    <col min="10672" max="10913" width="9.1640625" style="4"/>
    <col min="10914" max="10914" width="3.5" style="4" customWidth="1"/>
    <col min="10915" max="10915" width="16.83203125" style="4" customWidth="1"/>
    <col min="10916" max="10916" width="19.1640625" style="4" customWidth="1"/>
    <col min="10917" max="10917" width="9.83203125" style="4" customWidth="1"/>
    <col min="10918" max="10918" width="81.83203125" style="4" customWidth="1"/>
    <col min="10919" max="10919" width="10" style="4" customWidth="1"/>
    <col min="10920" max="10920" width="8" style="4" customWidth="1"/>
    <col min="10921" max="10921" width="7.1640625" style="4" customWidth="1"/>
    <col min="10922" max="10927" width="8" style="4" customWidth="1"/>
    <col min="10928" max="11169" width="9.1640625" style="4"/>
    <col min="11170" max="11170" width="3.5" style="4" customWidth="1"/>
    <col min="11171" max="11171" width="16.83203125" style="4" customWidth="1"/>
    <col min="11172" max="11172" width="19.1640625" style="4" customWidth="1"/>
    <col min="11173" max="11173" width="9.83203125" style="4" customWidth="1"/>
    <col min="11174" max="11174" width="81.83203125" style="4" customWidth="1"/>
    <col min="11175" max="11175" width="10" style="4" customWidth="1"/>
    <col min="11176" max="11176" width="8" style="4" customWidth="1"/>
    <col min="11177" max="11177" width="7.1640625" style="4" customWidth="1"/>
    <col min="11178" max="11183" width="8" style="4" customWidth="1"/>
    <col min="11184" max="11425" width="9.1640625" style="4"/>
    <col min="11426" max="11426" width="3.5" style="4" customWidth="1"/>
    <col min="11427" max="11427" width="16.83203125" style="4" customWidth="1"/>
    <col min="11428" max="11428" width="19.1640625" style="4" customWidth="1"/>
    <col min="11429" max="11429" width="9.83203125" style="4" customWidth="1"/>
    <col min="11430" max="11430" width="81.83203125" style="4" customWidth="1"/>
    <col min="11431" max="11431" width="10" style="4" customWidth="1"/>
    <col min="11432" max="11432" width="8" style="4" customWidth="1"/>
    <col min="11433" max="11433" width="7.1640625" style="4" customWidth="1"/>
    <col min="11434" max="11439" width="8" style="4" customWidth="1"/>
    <col min="11440" max="11681" width="9.1640625" style="4"/>
    <col min="11682" max="11682" width="3.5" style="4" customWidth="1"/>
    <col min="11683" max="11683" width="16.83203125" style="4" customWidth="1"/>
    <col min="11684" max="11684" width="19.1640625" style="4" customWidth="1"/>
    <col min="11685" max="11685" width="9.83203125" style="4" customWidth="1"/>
    <col min="11686" max="11686" width="81.83203125" style="4" customWidth="1"/>
    <col min="11687" max="11687" width="10" style="4" customWidth="1"/>
    <col min="11688" max="11688" width="8" style="4" customWidth="1"/>
    <col min="11689" max="11689" width="7.1640625" style="4" customWidth="1"/>
    <col min="11690" max="11695" width="8" style="4" customWidth="1"/>
    <col min="11696" max="11937" width="9.1640625" style="4"/>
    <col min="11938" max="11938" width="3.5" style="4" customWidth="1"/>
    <col min="11939" max="11939" width="16.83203125" style="4" customWidth="1"/>
    <col min="11940" max="11940" width="19.1640625" style="4" customWidth="1"/>
    <col min="11941" max="11941" width="9.83203125" style="4" customWidth="1"/>
    <col min="11942" max="11942" width="81.83203125" style="4" customWidth="1"/>
    <col min="11943" max="11943" width="10" style="4" customWidth="1"/>
    <col min="11944" max="11944" width="8" style="4" customWidth="1"/>
    <col min="11945" max="11945" width="7.1640625" style="4" customWidth="1"/>
    <col min="11946" max="11951" width="8" style="4" customWidth="1"/>
    <col min="11952" max="12193" width="9.1640625" style="4"/>
    <col min="12194" max="12194" width="3.5" style="4" customWidth="1"/>
    <col min="12195" max="12195" width="16.83203125" style="4" customWidth="1"/>
    <col min="12196" max="12196" width="19.1640625" style="4" customWidth="1"/>
    <col min="12197" max="12197" width="9.83203125" style="4" customWidth="1"/>
    <col min="12198" max="12198" width="81.83203125" style="4" customWidth="1"/>
    <col min="12199" max="12199" width="10" style="4" customWidth="1"/>
    <col min="12200" max="12200" width="8" style="4" customWidth="1"/>
    <col min="12201" max="12201" width="7.1640625" style="4" customWidth="1"/>
    <col min="12202" max="12207" width="8" style="4" customWidth="1"/>
    <col min="12208" max="12449" width="9.1640625" style="4"/>
    <col min="12450" max="12450" width="3.5" style="4" customWidth="1"/>
    <col min="12451" max="12451" width="16.83203125" style="4" customWidth="1"/>
    <col min="12452" max="12452" width="19.1640625" style="4" customWidth="1"/>
    <col min="12453" max="12453" width="9.83203125" style="4" customWidth="1"/>
    <col min="12454" max="12454" width="81.83203125" style="4" customWidth="1"/>
    <col min="12455" max="12455" width="10" style="4" customWidth="1"/>
    <col min="12456" max="12456" width="8" style="4" customWidth="1"/>
    <col min="12457" max="12457" width="7.1640625" style="4" customWidth="1"/>
    <col min="12458" max="12463" width="8" style="4" customWidth="1"/>
    <col min="12464" max="12705" width="9.1640625" style="4"/>
    <col min="12706" max="12706" width="3.5" style="4" customWidth="1"/>
    <col min="12707" max="12707" width="16.83203125" style="4" customWidth="1"/>
    <col min="12708" max="12708" width="19.1640625" style="4" customWidth="1"/>
    <col min="12709" max="12709" width="9.83203125" style="4" customWidth="1"/>
    <col min="12710" max="12710" width="81.83203125" style="4" customWidth="1"/>
    <col min="12711" max="12711" width="10" style="4" customWidth="1"/>
    <col min="12712" max="12712" width="8" style="4" customWidth="1"/>
    <col min="12713" max="12713" width="7.1640625" style="4" customWidth="1"/>
    <col min="12714" max="12719" width="8" style="4" customWidth="1"/>
    <col min="12720" max="12961" width="9.1640625" style="4"/>
    <col min="12962" max="12962" width="3.5" style="4" customWidth="1"/>
    <col min="12963" max="12963" width="16.83203125" style="4" customWidth="1"/>
    <col min="12964" max="12964" width="19.1640625" style="4" customWidth="1"/>
    <col min="12965" max="12965" width="9.83203125" style="4" customWidth="1"/>
    <col min="12966" max="12966" width="81.83203125" style="4" customWidth="1"/>
    <col min="12967" max="12967" width="10" style="4" customWidth="1"/>
    <col min="12968" max="12968" width="8" style="4" customWidth="1"/>
    <col min="12969" max="12969" width="7.1640625" style="4" customWidth="1"/>
    <col min="12970" max="12975" width="8" style="4" customWidth="1"/>
    <col min="12976" max="13217" width="9.1640625" style="4"/>
    <col min="13218" max="13218" width="3.5" style="4" customWidth="1"/>
    <col min="13219" max="13219" width="16.83203125" style="4" customWidth="1"/>
    <col min="13220" max="13220" width="19.1640625" style="4" customWidth="1"/>
    <col min="13221" max="13221" width="9.83203125" style="4" customWidth="1"/>
    <col min="13222" max="13222" width="81.83203125" style="4" customWidth="1"/>
    <col min="13223" max="13223" width="10" style="4" customWidth="1"/>
    <col min="13224" max="13224" width="8" style="4" customWidth="1"/>
    <col min="13225" max="13225" width="7.1640625" style="4" customWidth="1"/>
    <col min="13226" max="13231" width="8" style="4" customWidth="1"/>
    <col min="13232" max="13473" width="9.1640625" style="4"/>
    <col min="13474" max="13474" width="3.5" style="4" customWidth="1"/>
    <col min="13475" max="13475" width="16.83203125" style="4" customWidth="1"/>
    <col min="13476" max="13476" width="19.1640625" style="4" customWidth="1"/>
    <col min="13477" max="13477" width="9.83203125" style="4" customWidth="1"/>
    <col min="13478" max="13478" width="81.83203125" style="4" customWidth="1"/>
    <col min="13479" max="13479" width="10" style="4" customWidth="1"/>
    <col min="13480" max="13480" width="8" style="4" customWidth="1"/>
    <col min="13481" max="13481" width="7.1640625" style="4" customWidth="1"/>
    <col min="13482" max="13487" width="8" style="4" customWidth="1"/>
    <col min="13488" max="13729" width="9.1640625" style="4"/>
    <col min="13730" max="13730" width="3.5" style="4" customWidth="1"/>
    <col min="13731" max="13731" width="16.83203125" style="4" customWidth="1"/>
    <col min="13732" max="13732" width="19.1640625" style="4" customWidth="1"/>
    <col min="13733" max="13733" width="9.83203125" style="4" customWidth="1"/>
    <col min="13734" max="13734" width="81.83203125" style="4" customWidth="1"/>
    <col min="13735" max="13735" width="10" style="4" customWidth="1"/>
    <col min="13736" max="13736" width="8" style="4" customWidth="1"/>
    <col min="13737" max="13737" width="7.1640625" style="4" customWidth="1"/>
    <col min="13738" max="13743" width="8" style="4" customWidth="1"/>
    <col min="13744" max="13985" width="9.1640625" style="4"/>
    <col min="13986" max="13986" width="3.5" style="4" customWidth="1"/>
    <col min="13987" max="13987" width="16.83203125" style="4" customWidth="1"/>
    <col min="13988" max="13988" width="19.1640625" style="4" customWidth="1"/>
    <col min="13989" max="13989" width="9.83203125" style="4" customWidth="1"/>
    <col min="13990" max="13990" width="81.83203125" style="4" customWidth="1"/>
    <col min="13991" max="13991" width="10" style="4" customWidth="1"/>
    <col min="13992" max="13992" width="8" style="4" customWidth="1"/>
    <col min="13993" max="13993" width="7.1640625" style="4" customWidth="1"/>
    <col min="13994" max="13999" width="8" style="4" customWidth="1"/>
    <col min="14000" max="14241" width="9.1640625" style="4"/>
    <col min="14242" max="14242" width="3.5" style="4" customWidth="1"/>
    <col min="14243" max="14243" width="16.83203125" style="4" customWidth="1"/>
    <col min="14244" max="14244" width="19.1640625" style="4" customWidth="1"/>
    <col min="14245" max="14245" width="9.83203125" style="4" customWidth="1"/>
    <col min="14246" max="14246" width="81.83203125" style="4" customWidth="1"/>
    <col min="14247" max="14247" width="10" style="4" customWidth="1"/>
    <col min="14248" max="14248" width="8" style="4" customWidth="1"/>
    <col min="14249" max="14249" width="7.1640625" style="4" customWidth="1"/>
    <col min="14250" max="14255" width="8" style="4" customWidth="1"/>
    <col min="14256" max="14497" width="9.1640625" style="4"/>
    <col min="14498" max="14498" width="3.5" style="4" customWidth="1"/>
    <col min="14499" max="14499" width="16.83203125" style="4" customWidth="1"/>
    <col min="14500" max="14500" width="19.1640625" style="4" customWidth="1"/>
    <col min="14501" max="14501" width="9.83203125" style="4" customWidth="1"/>
    <col min="14502" max="14502" width="81.83203125" style="4" customWidth="1"/>
    <col min="14503" max="14503" width="10" style="4" customWidth="1"/>
    <col min="14504" max="14504" width="8" style="4" customWidth="1"/>
    <col min="14505" max="14505" width="7.1640625" style="4" customWidth="1"/>
    <col min="14506" max="14511" width="8" style="4" customWidth="1"/>
    <col min="14512" max="14753" width="9.1640625" style="4"/>
    <col min="14754" max="14754" width="3.5" style="4" customWidth="1"/>
    <col min="14755" max="14755" width="16.83203125" style="4" customWidth="1"/>
    <col min="14756" max="14756" width="19.1640625" style="4" customWidth="1"/>
    <col min="14757" max="14757" width="9.83203125" style="4" customWidth="1"/>
    <col min="14758" max="14758" width="81.83203125" style="4" customWidth="1"/>
    <col min="14759" max="14759" width="10" style="4" customWidth="1"/>
    <col min="14760" max="14760" width="8" style="4" customWidth="1"/>
    <col min="14761" max="14761" width="7.1640625" style="4" customWidth="1"/>
    <col min="14762" max="14767" width="8" style="4" customWidth="1"/>
    <col min="14768" max="15009" width="9.1640625" style="4"/>
    <col min="15010" max="15010" width="3.5" style="4" customWidth="1"/>
    <col min="15011" max="15011" width="16.83203125" style="4" customWidth="1"/>
    <col min="15012" max="15012" width="19.1640625" style="4" customWidth="1"/>
    <col min="15013" max="15013" width="9.83203125" style="4" customWidth="1"/>
    <col min="15014" max="15014" width="81.83203125" style="4" customWidth="1"/>
    <col min="15015" max="15015" width="10" style="4" customWidth="1"/>
    <col min="15016" max="15016" width="8" style="4" customWidth="1"/>
    <col min="15017" max="15017" width="7.1640625" style="4" customWidth="1"/>
    <col min="15018" max="15023" width="8" style="4" customWidth="1"/>
    <col min="15024" max="15265" width="9.1640625" style="4"/>
    <col min="15266" max="15266" width="3.5" style="4" customWidth="1"/>
    <col min="15267" max="15267" width="16.83203125" style="4" customWidth="1"/>
    <col min="15268" max="15268" width="19.1640625" style="4" customWidth="1"/>
    <col min="15269" max="15269" width="9.83203125" style="4" customWidth="1"/>
    <col min="15270" max="15270" width="81.83203125" style="4" customWidth="1"/>
    <col min="15271" max="15271" width="10" style="4" customWidth="1"/>
    <col min="15272" max="15272" width="8" style="4" customWidth="1"/>
    <col min="15273" max="15273" width="7.1640625" style="4" customWidth="1"/>
    <col min="15274" max="15279" width="8" style="4" customWidth="1"/>
    <col min="15280" max="15521" width="9.1640625" style="4"/>
    <col min="15522" max="15522" width="3.5" style="4" customWidth="1"/>
    <col min="15523" max="15523" width="16.83203125" style="4" customWidth="1"/>
    <col min="15524" max="15524" width="19.1640625" style="4" customWidth="1"/>
    <col min="15525" max="15525" width="9.83203125" style="4" customWidth="1"/>
    <col min="15526" max="15526" width="81.83203125" style="4" customWidth="1"/>
    <col min="15527" max="15527" width="10" style="4" customWidth="1"/>
    <col min="15528" max="15528" width="8" style="4" customWidth="1"/>
    <col min="15529" max="15529" width="7.1640625" style="4" customWidth="1"/>
    <col min="15530" max="15535" width="8" style="4" customWidth="1"/>
    <col min="15536" max="15777" width="9.1640625" style="4"/>
    <col min="15778" max="15778" width="3.5" style="4" customWidth="1"/>
    <col min="15779" max="15779" width="16.83203125" style="4" customWidth="1"/>
    <col min="15780" max="15780" width="19.1640625" style="4" customWidth="1"/>
    <col min="15781" max="15781" width="9.83203125" style="4" customWidth="1"/>
    <col min="15782" max="15782" width="81.83203125" style="4" customWidth="1"/>
    <col min="15783" max="15783" width="10" style="4" customWidth="1"/>
    <col min="15784" max="15784" width="8" style="4" customWidth="1"/>
    <col min="15785" max="15785" width="7.1640625" style="4" customWidth="1"/>
    <col min="15786" max="15791" width="8" style="4" customWidth="1"/>
    <col min="15792" max="16033" width="9.1640625" style="4"/>
    <col min="16034" max="16034" width="3.5" style="4" customWidth="1"/>
    <col min="16035" max="16035" width="16.83203125" style="4" customWidth="1"/>
    <col min="16036" max="16036" width="19.1640625" style="4" customWidth="1"/>
    <col min="16037" max="16037" width="9.83203125" style="4" customWidth="1"/>
    <col min="16038" max="16038" width="81.83203125" style="4" customWidth="1"/>
    <col min="16039" max="16039" width="10" style="4" customWidth="1"/>
    <col min="16040" max="16040" width="8" style="4" customWidth="1"/>
    <col min="16041" max="16041" width="7.1640625" style="4" customWidth="1"/>
    <col min="16042" max="16047" width="8" style="4" customWidth="1"/>
    <col min="16048" max="16384" width="9.1640625" style="4"/>
  </cols>
  <sheetData>
    <row r="1" spans="2:16" ht="14" thickBot="1" x14ac:dyDescent="0.25">
      <c r="B1" s="1"/>
      <c r="C1" s="2"/>
      <c r="D1" s="1"/>
      <c r="E1" s="1"/>
      <c r="F1" s="1"/>
      <c r="G1" s="1"/>
      <c r="H1" s="3"/>
      <c r="I1" s="3"/>
      <c r="J1" s="3"/>
      <c r="K1" s="3"/>
      <c r="L1" s="3"/>
      <c r="M1" s="3"/>
      <c r="N1" s="3"/>
      <c r="O1" s="3"/>
    </row>
    <row r="2" spans="2:16" s="10" customFormat="1" ht="29" thickBot="1" x14ac:dyDescent="0.25">
      <c r="B2" s="5" t="s">
        <v>0</v>
      </c>
      <c r="C2" s="6" t="s">
        <v>1</v>
      </c>
      <c r="D2" s="5" t="s">
        <v>2</v>
      </c>
      <c r="E2" s="7" t="s">
        <v>3</v>
      </c>
      <c r="F2" s="5" t="s">
        <v>4</v>
      </c>
      <c r="G2" s="7" t="s">
        <v>5</v>
      </c>
      <c r="H2" s="8" t="s">
        <v>6</v>
      </c>
      <c r="I2" s="9"/>
      <c r="J2" s="8" t="s">
        <v>7</v>
      </c>
      <c r="K2" s="9"/>
      <c r="L2" s="8" t="s">
        <v>8</v>
      </c>
      <c r="M2" s="9"/>
      <c r="N2" s="8" t="s">
        <v>9</v>
      </c>
      <c r="O2" s="9"/>
    </row>
    <row r="3" spans="2:16" s="18" customFormat="1" ht="15" thickBot="1" x14ac:dyDescent="0.25">
      <c r="B3" s="11"/>
      <c r="C3" s="12"/>
      <c r="D3" s="13"/>
      <c r="E3" s="14"/>
      <c r="F3" s="11"/>
      <c r="G3" s="15"/>
      <c r="H3" s="16" t="s">
        <v>10</v>
      </c>
      <c r="I3" s="17" t="s">
        <v>11</v>
      </c>
      <c r="J3" s="16" t="s">
        <v>10</v>
      </c>
      <c r="K3" s="17" t="s">
        <v>11</v>
      </c>
      <c r="L3" s="16" t="s">
        <v>10</v>
      </c>
      <c r="M3" s="17" t="s">
        <v>11</v>
      </c>
      <c r="N3" s="16" t="s">
        <v>10</v>
      </c>
      <c r="O3" s="17" t="s">
        <v>11</v>
      </c>
    </row>
    <row r="4" spans="2:16" x14ac:dyDescent="0.2">
      <c r="B4" s="19">
        <v>1</v>
      </c>
      <c r="C4" s="20" t="s">
        <v>12</v>
      </c>
      <c r="D4" s="21" t="s">
        <v>13</v>
      </c>
      <c r="E4" s="22">
        <v>0.2</v>
      </c>
      <c r="F4" s="23" t="s">
        <v>14</v>
      </c>
      <c r="G4" s="24">
        <v>10</v>
      </c>
      <c r="H4" s="25">
        <v>10</v>
      </c>
      <c r="I4" s="26">
        <f>SUM(H4:H5)*$E4</f>
        <v>2</v>
      </c>
      <c r="J4" s="25"/>
      <c r="K4" s="26">
        <f>SUM(J4:J5)*$E4</f>
        <v>0</v>
      </c>
      <c r="L4" s="27">
        <v>10</v>
      </c>
      <c r="M4" s="26">
        <f>SUM(L4:L5)*$E4</f>
        <v>2</v>
      </c>
      <c r="N4" s="25">
        <v>0</v>
      </c>
      <c r="O4" s="26">
        <f>SUM(N4:N5)*$E4</f>
        <v>0</v>
      </c>
    </row>
    <row r="5" spans="2:16" ht="14" thickBot="1" x14ac:dyDescent="0.25">
      <c r="B5" s="28"/>
      <c r="C5" s="29"/>
      <c r="D5" s="30"/>
      <c r="E5" s="31"/>
      <c r="F5" s="32" t="s">
        <v>15</v>
      </c>
      <c r="G5" s="33">
        <v>0</v>
      </c>
      <c r="H5" s="34"/>
      <c r="I5" s="35"/>
      <c r="J5" s="34"/>
      <c r="K5" s="35"/>
      <c r="L5" s="36"/>
      <c r="M5" s="35"/>
      <c r="N5" s="34"/>
      <c r="O5" s="35"/>
    </row>
    <row r="6" spans="2:16" s="37" customFormat="1" x14ac:dyDescent="0.2">
      <c r="B6" s="19">
        <v>2</v>
      </c>
      <c r="C6" s="20" t="s">
        <v>16</v>
      </c>
      <c r="D6" s="21" t="s">
        <v>17</v>
      </c>
      <c r="E6" s="22">
        <v>0.15</v>
      </c>
      <c r="F6" s="23" t="s">
        <v>18</v>
      </c>
      <c r="G6" s="24">
        <v>2</v>
      </c>
      <c r="H6" s="25">
        <v>2</v>
      </c>
      <c r="I6" s="26">
        <f>SUM(H6:H10)*$E6</f>
        <v>0.89999999999999991</v>
      </c>
      <c r="J6" s="25">
        <v>2</v>
      </c>
      <c r="K6" s="26">
        <f>SUM(J6:J10)*$E6</f>
        <v>0.89999999999999991</v>
      </c>
      <c r="L6" s="25">
        <v>2</v>
      </c>
      <c r="M6" s="26">
        <f>SUM(L6:L10)*$E6</f>
        <v>0.89999999999999991</v>
      </c>
      <c r="N6" s="25">
        <v>2</v>
      </c>
      <c r="O6" s="26">
        <f>SUM(N6:N10)*$E6</f>
        <v>0.6</v>
      </c>
      <c r="P6" s="18"/>
    </row>
    <row r="7" spans="2:16" s="37" customFormat="1" x14ac:dyDescent="0.2">
      <c r="B7" s="38"/>
      <c r="C7" s="39"/>
      <c r="D7" s="40"/>
      <c r="E7" s="41"/>
      <c r="F7" s="42" t="s">
        <v>19</v>
      </c>
      <c r="G7" s="33">
        <v>2</v>
      </c>
      <c r="H7" s="34"/>
      <c r="I7" s="35"/>
      <c r="J7" s="34"/>
      <c r="K7" s="35"/>
      <c r="L7" s="34"/>
      <c r="M7" s="35"/>
      <c r="N7" s="34"/>
      <c r="O7" s="35"/>
      <c r="P7" s="43"/>
    </row>
    <row r="8" spans="2:16" s="37" customFormat="1" x14ac:dyDescent="0.2">
      <c r="B8" s="38"/>
      <c r="C8" s="39"/>
      <c r="D8" s="40"/>
      <c r="E8" s="41"/>
      <c r="F8" s="42" t="s">
        <v>20</v>
      </c>
      <c r="G8" s="44">
        <v>2</v>
      </c>
      <c r="H8" s="34"/>
      <c r="I8" s="35"/>
      <c r="J8" s="34"/>
      <c r="K8" s="35"/>
      <c r="L8" s="34"/>
      <c r="M8" s="35"/>
      <c r="N8" s="34"/>
      <c r="O8" s="35"/>
    </row>
    <row r="9" spans="2:16" s="37" customFormat="1" x14ac:dyDescent="0.2">
      <c r="B9" s="38"/>
      <c r="C9" s="39"/>
      <c r="D9" s="40"/>
      <c r="E9" s="41"/>
      <c r="F9" s="45" t="s">
        <v>21</v>
      </c>
      <c r="G9" s="44">
        <v>2</v>
      </c>
      <c r="H9" s="34">
        <v>2</v>
      </c>
      <c r="I9" s="35"/>
      <c r="J9" s="34">
        <v>2</v>
      </c>
      <c r="K9" s="35"/>
      <c r="L9" s="34">
        <v>2</v>
      </c>
      <c r="M9" s="35"/>
      <c r="N9" s="34">
        <v>2</v>
      </c>
      <c r="O9" s="35"/>
    </row>
    <row r="10" spans="2:16" s="37" customFormat="1" ht="14" thickBot="1" x14ac:dyDescent="0.25">
      <c r="B10" s="28"/>
      <c r="C10" s="29"/>
      <c r="D10" s="30"/>
      <c r="E10" s="31"/>
      <c r="F10" s="32" t="s">
        <v>22</v>
      </c>
      <c r="G10" s="46">
        <v>2</v>
      </c>
      <c r="H10" s="47">
        <v>2</v>
      </c>
      <c r="I10" s="48"/>
      <c r="J10" s="47">
        <v>2</v>
      </c>
      <c r="K10" s="48"/>
      <c r="L10" s="47">
        <v>2</v>
      </c>
      <c r="M10" s="48"/>
      <c r="N10" s="47"/>
      <c r="O10" s="48"/>
    </row>
    <row r="11" spans="2:16" s="37" customFormat="1" x14ac:dyDescent="0.2">
      <c r="B11" s="19">
        <v>3</v>
      </c>
      <c r="C11" s="20" t="s">
        <v>23</v>
      </c>
      <c r="D11" s="21" t="s">
        <v>24</v>
      </c>
      <c r="E11" s="22">
        <v>0.15</v>
      </c>
      <c r="F11" s="23" t="s">
        <v>25</v>
      </c>
      <c r="G11" s="24">
        <v>2</v>
      </c>
      <c r="H11" s="25">
        <v>2</v>
      </c>
      <c r="I11" s="26">
        <f>SUM(H11:H15)*$E11</f>
        <v>1.5</v>
      </c>
      <c r="J11" s="25">
        <v>2</v>
      </c>
      <c r="K11" s="26">
        <f>SUM(J11:J15)*$E11</f>
        <v>1.5</v>
      </c>
      <c r="L11" s="25">
        <v>2</v>
      </c>
      <c r="M11" s="26">
        <f>SUM(L11:L15)*$E11</f>
        <v>1.5</v>
      </c>
      <c r="N11" s="25">
        <v>2</v>
      </c>
      <c r="O11" s="26">
        <f>SUM(N11:N15)*$E11</f>
        <v>1.5</v>
      </c>
      <c r="P11" s="18"/>
    </row>
    <row r="12" spans="2:16" s="37" customFormat="1" x14ac:dyDescent="0.2">
      <c r="B12" s="38"/>
      <c r="C12" s="39"/>
      <c r="D12" s="40"/>
      <c r="E12" s="41"/>
      <c r="F12" s="42" t="s">
        <v>26</v>
      </c>
      <c r="G12" s="33">
        <v>2</v>
      </c>
      <c r="H12" s="34">
        <v>2</v>
      </c>
      <c r="I12" s="35"/>
      <c r="J12" s="34">
        <v>2</v>
      </c>
      <c r="K12" s="35"/>
      <c r="L12" s="34">
        <v>2</v>
      </c>
      <c r="M12" s="35"/>
      <c r="N12" s="34">
        <v>2</v>
      </c>
      <c r="O12" s="35"/>
      <c r="P12" s="43"/>
    </row>
    <row r="13" spans="2:16" s="37" customFormat="1" x14ac:dyDescent="0.2">
      <c r="B13" s="38"/>
      <c r="C13" s="39"/>
      <c r="D13" s="40"/>
      <c r="E13" s="41"/>
      <c r="F13" s="42" t="s">
        <v>27</v>
      </c>
      <c r="G13" s="44">
        <v>2</v>
      </c>
      <c r="H13" s="34">
        <v>2</v>
      </c>
      <c r="I13" s="35"/>
      <c r="J13" s="34">
        <v>2</v>
      </c>
      <c r="K13" s="35"/>
      <c r="L13" s="34">
        <v>2</v>
      </c>
      <c r="M13" s="35"/>
      <c r="N13" s="34">
        <v>2</v>
      </c>
      <c r="O13" s="35"/>
    </row>
    <row r="14" spans="2:16" s="37" customFormat="1" x14ac:dyDescent="0.2">
      <c r="B14" s="38"/>
      <c r="C14" s="39"/>
      <c r="D14" s="40"/>
      <c r="E14" s="41"/>
      <c r="F14" s="42" t="s">
        <v>28</v>
      </c>
      <c r="G14" s="44">
        <v>2</v>
      </c>
      <c r="H14" s="34">
        <v>2</v>
      </c>
      <c r="I14" s="35"/>
      <c r="J14" s="34">
        <v>2</v>
      </c>
      <c r="K14" s="35"/>
      <c r="L14" s="34">
        <v>2</v>
      </c>
      <c r="M14" s="35"/>
      <c r="N14" s="34">
        <v>2</v>
      </c>
      <c r="O14" s="35"/>
    </row>
    <row r="15" spans="2:16" s="37" customFormat="1" ht="14" thickBot="1" x14ac:dyDescent="0.25">
      <c r="B15" s="28"/>
      <c r="C15" s="29"/>
      <c r="D15" s="30"/>
      <c r="E15" s="31"/>
      <c r="F15" s="45" t="s">
        <v>29</v>
      </c>
      <c r="G15" s="46">
        <v>2</v>
      </c>
      <c r="H15" s="47">
        <v>2</v>
      </c>
      <c r="I15" s="48"/>
      <c r="J15" s="47">
        <v>2</v>
      </c>
      <c r="K15" s="48"/>
      <c r="L15" s="47">
        <v>2</v>
      </c>
      <c r="M15" s="48"/>
      <c r="N15" s="47">
        <v>2</v>
      </c>
      <c r="O15" s="48"/>
    </row>
    <row r="16" spans="2:16" s="43" customFormat="1" x14ac:dyDescent="0.2">
      <c r="B16" s="49">
        <v>4</v>
      </c>
      <c r="C16" s="50" t="s">
        <v>30</v>
      </c>
      <c r="D16" s="51" t="s">
        <v>31</v>
      </c>
      <c r="E16" s="22">
        <v>0.15</v>
      </c>
      <c r="F16" s="23" t="s">
        <v>32</v>
      </c>
      <c r="G16" s="24">
        <v>10</v>
      </c>
      <c r="H16" s="25">
        <v>10</v>
      </c>
      <c r="I16" s="26">
        <f>SUM(H16:H20)*$E16</f>
        <v>1.5</v>
      </c>
      <c r="J16" s="25"/>
      <c r="K16" s="26">
        <f>SUM(J16:J20)*$E16</f>
        <v>1.2</v>
      </c>
      <c r="L16" s="25"/>
      <c r="M16" s="26">
        <f>SUM(L16:L20)*$E16</f>
        <v>0.6</v>
      </c>
      <c r="N16" s="25"/>
      <c r="O16" s="26">
        <f>SUM(N16:N20)*$E16</f>
        <v>1.2</v>
      </c>
    </row>
    <row r="17" spans="2:17" s="43" customFormat="1" x14ac:dyDescent="0.2">
      <c r="B17" s="52"/>
      <c r="C17" s="53"/>
      <c r="D17" s="54"/>
      <c r="E17" s="55"/>
      <c r="F17" s="42" t="s">
        <v>33</v>
      </c>
      <c r="G17" s="33">
        <v>8</v>
      </c>
      <c r="H17" s="34"/>
      <c r="I17" s="35"/>
      <c r="J17" s="34">
        <v>8</v>
      </c>
      <c r="K17" s="35"/>
      <c r="L17" s="34"/>
      <c r="M17" s="35"/>
      <c r="N17" s="34">
        <v>8</v>
      </c>
      <c r="O17" s="35"/>
      <c r="P17" s="18"/>
    </row>
    <row r="18" spans="2:17" s="43" customFormat="1" x14ac:dyDescent="0.2">
      <c r="B18" s="56"/>
      <c r="C18" s="57"/>
      <c r="D18" s="58"/>
      <c r="E18" s="59"/>
      <c r="F18" s="42" t="s">
        <v>34</v>
      </c>
      <c r="G18" s="44">
        <v>6</v>
      </c>
      <c r="H18" s="34"/>
      <c r="I18" s="35"/>
      <c r="J18" s="34"/>
      <c r="K18" s="35"/>
      <c r="L18" s="34"/>
      <c r="M18" s="35"/>
      <c r="N18" s="34"/>
      <c r="O18" s="35"/>
    </row>
    <row r="19" spans="2:17" s="43" customFormat="1" x14ac:dyDescent="0.2">
      <c r="B19" s="56"/>
      <c r="C19" s="57"/>
      <c r="D19" s="58"/>
      <c r="E19" s="59"/>
      <c r="F19" s="42" t="s">
        <v>35</v>
      </c>
      <c r="G19" s="44">
        <v>4</v>
      </c>
      <c r="H19" s="34"/>
      <c r="I19" s="35"/>
      <c r="J19" s="34"/>
      <c r="K19" s="35"/>
      <c r="L19" s="34">
        <v>4</v>
      </c>
      <c r="M19" s="35"/>
      <c r="N19" s="34"/>
      <c r="O19" s="35"/>
      <c r="P19" s="18"/>
    </row>
    <row r="20" spans="2:17" s="43" customFormat="1" ht="14" thickBot="1" x14ac:dyDescent="0.25">
      <c r="B20" s="60"/>
      <c r="C20" s="61"/>
      <c r="D20" s="62"/>
      <c r="E20" s="31"/>
      <c r="F20" s="32" t="s">
        <v>36</v>
      </c>
      <c r="G20" s="46">
        <v>2</v>
      </c>
      <c r="H20" s="47"/>
      <c r="I20" s="48"/>
      <c r="J20" s="47"/>
      <c r="K20" s="48"/>
      <c r="L20" s="47"/>
      <c r="M20" s="48"/>
      <c r="N20" s="47"/>
      <c r="O20" s="48"/>
    </row>
    <row r="21" spans="2:17" ht="14" thickBot="1" x14ac:dyDescent="0.25">
      <c r="B21" s="63">
        <v>5</v>
      </c>
      <c r="C21" s="64" t="s">
        <v>37</v>
      </c>
      <c r="D21" s="65" t="s">
        <v>38</v>
      </c>
      <c r="E21" s="66">
        <v>0.125</v>
      </c>
      <c r="F21" s="67" t="s">
        <v>39</v>
      </c>
      <c r="G21" s="24">
        <v>10</v>
      </c>
      <c r="H21" s="25"/>
      <c r="I21" s="26">
        <f>SUM(H21:H24)*$E21</f>
        <v>0.5</v>
      </c>
      <c r="J21" s="25">
        <v>10</v>
      </c>
      <c r="K21" s="26">
        <f>SUM(J21:J24)*$E21</f>
        <v>1.25</v>
      </c>
      <c r="L21" s="25">
        <v>10</v>
      </c>
      <c r="M21" s="26">
        <f>SUM(L21:L24)*$E21</f>
        <v>1.25</v>
      </c>
      <c r="N21" s="25"/>
      <c r="O21" s="26">
        <f>SUM(N21:N24)*$E21</f>
        <v>1</v>
      </c>
      <c r="P21" s="18"/>
    </row>
    <row r="22" spans="2:17" ht="14" thickBot="1" x14ac:dyDescent="0.25">
      <c r="B22" s="38"/>
      <c r="C22" s="39"/>
      <c r="D22" s="40"/>
      <c r="E22" s="68"/>
      <c r="F22" s="67" t="s">
        <v>40</v>
      </c>
      <c r="G22" s="33">
        <v>8</v>
      </c>
      <c r="H22" s="34"/>
      <c r="I22" s="35"/>
      <c r="J22" s="34"/>
      <c r="K22" s="35"/>
      <c r="L22" s="34"/>
      <c r="M22" s="35"/>
      <c r="N22" s="34">
        <v>8</v>
      </c>
      <c r="O22" s="35"/>
      <c r="P22" s="43"/>
      <c r="Q22" s="69"/>
    </row>
    <row r="23" spans="2:17" ht="14" thickBot="1" x14ac:dyDescent="0.25">
      <c r="B23" s="38"/>
      <c r="C23" s="39"/>
      <c r="D23" s="40"/>
      <c r="E23" s="68"/>
      <c r="F23" s="67" t="s">
        <v>41</v>
      </c>
      <c r="G23" s="33">
        <v>6</v>
      </c>
      <c r="H23" s="34"/>
      <c r="I23" s="35"/>
      <c r="J23" s="34"/>
      <c r="K23" s="35"/>
      <c r="L23" s="34"/>
      <c r="M23" s="35"/>
      <c r="N23" s="34"/>
      <c r="O23" s="35"/>
      <c r="P23" s="18"/>
    </row>
    <row r="24" spans="2:17" ht="14" thickBot="1" x14ac:dyDescent="0.25">
      <c r="B24" s="70"/>
      <c r="C24" s="71"/>
      <c r="D24" s="72"/>
      <c r="E24" s="73"/>
      <c r="F24" s="67" t="s">
        <v>42</v>
      </c>
      <c r="G24" s="44">
        <v>4</v>
      </c>
      <c r="H24" s="34">
        <v>4</v>
      </c>
      <c r="I24" s="48"/>
      <c r="J24" s="34"/>
      <c r="K24" s="48"/>
      <c r="L24" s="34"/>
      <c r="M24" s="48"/>
      <c r="N24" s="34"/>
      <c r="O24" s="48"/>
      <c r="P24" s="43"/>
    </row>
    <row r="25" spans="2:17" ht="14" thickBot="1" x14ac:dyDescent="0.25">
      <c r="B25" s="63">
        <v>6</v>
      </c>
      <c r="C25" s="64" t="s">
        <v>43</v>
      </c>
      <c r="D25" s="65" t="s">
        <v>44</v>
      </c>
      <c r="E25" s="66">
        <v>0.125</v>
      </c>
      <c r="F25" s="67" t="s">
        <v>45</v>
      </c>
      <c r="G25" s="24">
        <v>10</v>
      </c>
      <c r="H25" s="25">
        <v>10</v>
      </c>
      <c r="I25" s="26">
        <f>SUM(H25:H28)*$E25</f>
        <v>1.25</v>
      </c>
      <c r="J25" s="25"/>
      <c r="K25" s="26">
        <f>SUM(J25:J28)*$E25</f>
        <v>1</v>
      </c>
      <c r="L25" s="25"/>
      <c r="M25" s="26">
        <f>SUM(L25:L28)*$E25</f>
        <v>1</v>
      </c>
      <c r="N25" s="25">
        <v>10</v>
      </c>
      <c r="O25" s="26">
        <f>SUM(N25:N28)*$E25</f>
        <v>1.25</v>
      </c>
      <c r="P25" s="18"/>
    </row>
    <row r="26" spans="2:17" ht="14" thickBot="1" x14ac:dyDescent="0.25">
      <c r="B26" s="38"/>
      <c r="C26" s="39"/>
      <c r="D26" s="40"/>
      <c r="E26" s="68"/>
      <c r="F26" s="67" t="s">
        <v>46</v>
      </c>
      <c r="G26" s="33">
        <v>8</v>
      </c>
      <c r="H26" s="34"/>
      <c r="I26" s="35"/>
      <c r="J26" s="34">
        <v>8</v>
      </c>
      <c r="K26" s="35"/>
      <c r="L26" s="34">
        <v>8</v>
      </c>
      <c r="M26" s="35"/>
      <c r="N26" s="34"/>
      <c r="O26" s="35"/>
      <c r="P26" s="43"/>
      <c r="Q26" s="69"/>
    </row>
    <row r="27" spans="2:17" ht="14" thickBot="1" x14ac:dyDescent="0.25">
      <c r="B27" s="38"/>
      <c r="C27" s="39"/>
      <c r="D27" s="40"/>
      <c r="E27" s="68"/>
      <c r="F27" s="67" t="s">
        <v>47</v>
      </c>
      <c r="G27" s="33">
        <v>6</v>
      </c>
      <c r="H27" s="34"/>
      <c r="I27" s="35"/>
      <c r="J27" s="34"/>
      <c r="K27" s="35"/>
      <c r="L27" s="34"/>
      <c r="M27" s="35"/>
      <c r="N27" s="34"/>
      <c r="O27" s="35"/>
      <c r="P27" s="18"/>
    </row>
    <row r="28" spans="2:17" ht="14" thickBot="1" x14ac:dyDescent="0.25">
      <c r="B28" s="70"/>
      <c r="C28" s="71"/>
      <c r="D28" s="72"/>
      <c r="E28" s="73"/>
      <c r="F28" s="67" t="s">
        <v>48</v>
      </c>
      <c r="G28" s="44">
        <v>4</v>
      </c>
      <c r="H28" s="34"/>
      <c r="I28" s="48"/>
      <c r="J28" s="34"/>
      <c r="K28" s="48"/>
      <c r="L28" s="34"/>
      <c r="M28" s="48"/>
      <c r="N28" s="34"/>
      <c r="O28" s="48"/>
      <c r="P28" s="43"/>
    </row>
    <row r="29" spans="2:17" x14ac:dyDescent="0.2">
      <c r="B29" s="19">
        <v>7</v>
      </c>
      <c r="C29" s="20" t="s">
        <v>49</v>
      </c>
      <c r="D29" s="21" t="s">
        <v>50</v>
      </c>
      <c r="E29" s="22">
        <v>0.1</v>
      </c>
      <c r="F29" s="23" t="s">
        <v>51</v>
      </c>
      <c r="G29" s="24">
        <v>10</v>
      </c>
      <c r="H29" s="25">
        <v>10</v>
      </c>
      <c r="I29" s="26">
        <f>SUM(H29:H31)*$E29</f>
        <v>1</v>
      </c>
      <c r="J29" s="25"/>
      <c r="K29" s="26">
        <f>SUM(J29:J31)*$E29</f>
        <v>0.8</v>
      </c>
      <c r="L29" s="25"/>
      <c r="M29" s="26">
        <f>SUM(L29:L31)*$E29</f>
        <v>0.8</v>
      </c>
      <c r="N29" s="25"/>
      <c r="O29" s="26">
        <f>SUM(N29:N31)*$E29</f>
        <v>0.8</v>
      </c>
    </row>
    <row r="30" spans="2:17" x14ac:dyDescent="0.2">
      <c r="B30" s="74"/>
      <c r="C30" s="75"/>
      <c r="D30" s="40"/>
      <c r="E30" s="41"/>
      <c r="F30" s="42" t="s">
        <v>52</v>
      </c>
      <c r="G30" s="33">
        <v>8</v>
      </c>
      <c r="H30" s="34"/>
      <c r="I30" s="35"/>
      <c r="J30" s="34">
        <v>8</v>
      </c>
      <c r="K30" s="35"/>
      <c r="L30" s="34">
        <v>8</v>
      </c>
      <c r="M30" s="35"/>
      <c r="N30" s="34">
        <v>8</v>
      </c>
      <c r="O30" s="35"/>
    </row>
    <row r="31" spans="2:17" ht="14" thickBot="1" x14ac:dyDescent="0.25">
      <c r="B31" s="28"/>
      <c r="C31" s="29"/>
      <c r="D31" s="72"/>
      <c r="E31" s="76"/>
      <c r="F31" s="32" t="s">
        <v>53</v>
      </c>
      <c r="G31" s="46">
        <v>6</v>
      </c>
      <c r="H31" s="47"/>
      <c r="I31" s="35"/>
      <c r="J31" s="47"/>
      <c r="K31" s="35"/>
      <c r="L31" s="47"/>
      <c r="M31" s="48"/>
      <c r="N31" s="47"/>
      <c r="O31" s="48"/>
    </row>
    <row r="32" spans="2:17" x14ac:dyDescent="0.2">
      <c r="B32" s="63">
        <v>8</v>
      </c>
      <c r="C32" s="20" t="s">
        <v>54</v>
      </c>
      <c r="D32" s="21" t="s">
        <v>55</v>
      </c>
      <c r="E32" s="77">
        <v>0.1</v>
      </c>
      <c r="F32" s="23" t="s">
        <v>56</v>
      </c>
      <c r="G32" s="24">
        <v>5</v>
      </c>
      <c r="H32" s="25">
        <v>5</v>
      </c>
      <c r="I32" s="26">
        <f>SUM(H32:H33)*$E32</f>
        <v>1</v>
      </c>
      <c r="J32" s="25">
        <v>5</v>
      </c>
      <c r="K32" s="26">
        <f>SUM(J32:J33)*$E32</f>
        <v>0.5</v>
      </c>
      <c r="L32" s="25">
        <v>5</v>
      </c>
      <c r="M32" s="26">
        <f>SUM(L32:L33)*$E32</f>
        <v>0.5</v>
      </c>
      <c r="N32" s="25">
        <v>5</v>
      </c>
      <c r="O32" s="26">
        <f>SUM(N32:N33)*$E32</f>
        <v>0.5</v>
      </c>
    </row>
    <row r="33" spans="2:15" ht="14" thickBot="1" x14ac:dyDescent="0.25">
      <c r="B33" s="70"/>
      <c r="C33" s="71"/>
      <c r="D33" s="72"/>
      <c r="E33" s="76"/>
      <c r="F33" s="32" t="s">
        <v>57</v>
      </c>
      <c r="G33" s="46">
        <v>5</v>
      </c>
      <c r="H33" s="47">
        <v>5</v>
      </c>
      <c r="I33" s="48"/>
      <c r="J33" s="47"/>
      <c r="K33" s="48"/>
      <c r="L33" s="47"/>
      <c r="M33" s="48"/>
      <c r="N33" s="47"/>
      <c r="O33" s="48"/>
    </row>
    <row r="34" spans="2:15" ht="15" thickBot="1" x14ac:dyDescent="0.25">
      <c r="B34" s="78"/>
      <c r="C34" s="79" t="s">
        <v>58</v>
      </c>
      <c r="D34" s="80"/>
      <c r="E34" s="81">
        <f>SUM(E4:E31)</f>
        <v>1</v>
      </c>
      <c r="F34" s="82"/>
      <c r="G34" s="83"/>
      <c r="H34" s="84"/>
      <c r="I34" s="85">
        <f t="shared" ref="I34" si="0">SUM(I4:I33)</f>
        <v>9.65</v>
      </c>
      <c r="J34" s="84"/>
      <c r="K34" s="85">
        <f>SUM(K4:K33)</f>
        <v>7.1499999999999995</v>
      </c>
      <c r="L34" s="84"/>
      <c r="M34" s="85">
        <f>SUM(M4:M33)</f>
        <v>8.5500000000000007</v>
      </c>
      <c r="N34" s="84"/>
      <c r="O34" s="85">
        <f t="shared" ref="O34" si="1">SUM(O4:O33)</f>
        <v>6.85</v>
      </c>
    </row>
    <row r="36" spans="2:15" x14ac:dyDescent="0.2">
      <c r="H36" s="69"/>
      <c r="I36" s="69">
        <f>I34/10</f>
        <v>0.96500000000000008</v>
      </c>
      <c r="K36" s="69">
        <f>K34/10</f>
        <v>0.71499999999999997</v>
      </c>
      <c r="L36" s="69"/>
      <c r="M36" s="69">
        <f t="shared" ref="M36:O36" si="2">M34/10</f>
        <v>0.85500000000000009</v>
      </c>
      <c r="N36" s="69"/>
      <c r="O36" s="69">
        <f t="shared" si="2"/>
        <v>0.68499999999999994</v>
      </c>
    </row>
    <row r="38" spans="2:15" x14ac:dyDescent="0.2">
      <c r="I38" s="69"/>
      <c r="K38" s="69"/>
      <c r="M38" s="69"/>
      <c r="O38" s="69"/>
    </row>
    <row r="39" spans="2:15" x14ac:dyDescent="0.2">
      <c r="I39" s="69"/>
      <c r="K39" s="69"/>
      <c r="M39" s="69"/>
      <c r="O39" s="69"/>
    </row>
    <row r="40" spans="2:15" x14ac:dyDescent="0.2">
      <c r="I40" s="69"/>
      <c r="K40" s="69"/>
      <c r="M40" s="69"/>
      <c r="O40" s="69"/>
    </row>
    <row r="41" spans="2:15" x14ac:dyDescent="0.2">
      <c r="I41" s="69"/>
      <c r="K41" s="69"/>
      <c r="M41" s="69"/>
      <c r="O41" s="69"/>
    </row>
    <row r="42" spans="2:15" x14ac:dyDescent="0.2">
      <c r="I42" s="69"/>
      <c r="K42" s="69"/>
      <c r="M42" s="69"/>
      <c r="O42" s="69"/>
    </row>
    <row r="43" spans="2:15" x14ac:dyDescent="0.2">
      <c r="I43" s="69"/>
      <c r="K43" s="69"/>
      <c r="M43" s="69"/>
      <c r="O43" s="69"/>
    </row>
  </sheetData>
  <mergeCells count="72">
    <mergeCell ref="M29:M31"/>
    <mergeCell ref="O29:O31"/>
    <mergeCell ref="B32:B33"/>
    <mergeCell ref="C32:C33"/>
    <mergeCell ref="D32:D33"/>
    <mergeCell ref="E32:E33"/>
    <mergeCell ref="I32:I33"/>
    <mergeCell ref="K32:K33"/>
    <mergeCell ref="M32:M33"/>
    <mergeCell ref="O32:O33"/>
    <mergeCell ref="B29:B31"/>
    <mergeCell ref="C29:C31"/>
    <mergeCell ref="D29:D31"/>
    <mergeCell ref="E29:E31"/>
    <mergeCell ref="I29:I31"/>
    <mergeCell ref="K29:K31"/>
    <mergeCell ref="M21:M24"/>
    <mergeCell ref="O21:O24"/>
    <mergeCell ref="B25:B28"/>
    <mergeCell ref="C25:C28"/>
    <mergeCell ref="D25:D28"/>
    <mergeCell ref="E25:E28"/>
    <mergeCell ref="I25:I28"/>
    <mergeCell ref="K25:K28"/>
    <mergeCell ref="M25:M28"/>
    <mergeCell ref="O25:O28"/>
    <mergeCell ref="B21:B24"/>
    <mergeCell ref="C21:C24"/>
    <mergeCell ref="D21:D24"/>
    <mergeCell ref="E21:E24"/>
    <mergeCell ref="I21:I24"/>
    <mergeCell ref="K21:K24"/>
    <mergeCell ref="M11:M15"/>
    <mergeCell ref="O11:O15"/>
    <mergeCell ref="B16:B20"/>
    <mergeCell ref="C16:C20"/>
    <mergeCell ref="D16:D20"/>
    <mergeCell ref="E16:E20"/>
    <mergeCell ref="I16:I20"/>
    <mergeCell ref="K16:K20"/>
    <mergeCell ref="M16:M20"/>
    <mergeCell ref="O16:O20"/>
    <mergeCell ref="B11:B15"/>
    <mergeCell ref="C11:C15"/>
    <mergeCell ref="D11:D15"/>
    <mergeCell ref="E11:E15"/>
    <mergeCell ref="I11:I15"/>
    <mergeCell ref="K11:K15"/>
    <mergeCell ref="M4:M5"/>
    <mergeCell ref="O4:O5"/>
    <mergeCell ref="B6:B10"/>
    <mergeCell ref="C6:C10"/>
    <mergeCell ref="D6:D10"/>
    <mergeCell ref="E6:E10"/>
    <mergeCell ref="I6:I10"/>
    <mergeCell ref="K6:K10"/>
    <mergeCell ref="M6:M10"/>
    <mergeCell ref="O6:O10"/>
    <mergeCell ref="B4:B5"/>
    <mergeCell ref="C4:C5"/>
    <mergeCell ref="D4:D5"/>
    <mergeCell ref="E4:E5"/>
    <mergeCell ref="I4:I5"/>
    <mergeCell ref="K4:K5"/>
    <mergeCell ref="H1:I1"/>
    <mergeCell ref="J1:K1"/>
    <mergeCell ref="L1:M1"/>
    <mergeCell ref="N1:O1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 K KRISHNAMOORTHY</dc:creator>
  <cp:lastModifiedBy>SUDESH K KRISHNAMOORTHY</cp:lastModifiedBy>
  <dcterms:created xsi:type="dcterms:W3CDTF">2026-04-08T12:13:47Z</dcterms:created>
  <dcterms:modified xsi:type="dcterms:W3CDTF">2026-04-08T12:14:07Z</dcterms:modified>
</cp:coreProperties>
</file>